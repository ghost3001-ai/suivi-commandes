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Synthese" sheetId="1" state="visible" r:id="rId3"/>
    <sheet name="Commande" sheetId="2" state="visible" r:id="rId4"/>
    <sheet name="WENZHOU KINGYI LTD" sheetId="3" state="visible" r:id="rId5"/>
    <sheet name="WENZHOU KINGYI LTD (2)" sheetId="4" state="visible" r:id="rId6"/>
    <sheet name="BD FRN" sheetId="5" state="visible" r:id="rId7"/>
    <sheet name="Famille" sheetId="6" state="visible" r:id="rId8"/>
    <sheet name="Data" sheetId="7" state="visible" r:id="rId9"/>
  </sheets>
  <externalReferences>
    <externalReference r:id="rId10"/>
  </externalReferences>
  <definedNames>
    <definedName function="false" hidden="false" name="Budget" vbProcedure="false">#REF!</definedName>
    <definedName function="false" hidden="false" name="Budget_par_jour" vbProcedure="false">#REF!</definedName>
    <definedName function="false" hidden="false" name="Code_budgétaire" vbProcedure="false">#REF!</definedName>
    <definedName function="false" hidden="false" name="Criticité" vbProcedure="false">[1]Admin!$A$2:$A$5</definedName>
    <definedName function="false" hidden="false" name="DSN_Names" vbProcedure="false">[2]input!#ref!</definedName>
    <definedName function="false" hidden="false" name="Excel_BuiltIn_Print_Area_1_1" vbProcedure="false">#REF!</definedName>
    <definedName function="false" hidden="false" name="Fonction_RH" vbProcedure="false">#REF!</definedName>
    <definedName function="false" hidden="false" name="Jour_calendrier" vbProcedure="false">#REF!</definedName>
    <definedName function="false" hidden="false" name="Ligne_Budgétaire" vbProcedure="false">#REF!</definedName>
    <definedName function="false" hidden="false" name="Notation" vbProcedure="false">[1]Admin!$B$2:$B$4</definedName>
    <definedName function="false" hidden="false" name="SQLString" vbProcedure="false">[2]input!#ref!</definedName>
    <definedName function="false" hidden="false" name="Tableau_RH" vbProcedure="false">#REF!</definedName>
    <definedName function="false" hidden="false" name="Tableau_trésorerie_par_jour" vbProcedure="false">#REF!</definedName>
    <definedName function="false" hidden="false" localSheetId="3" name="Budget" vbProcedure="false">#REF!</definedName>
    <definedName function="false" hidden="false" localSheetId="3" name="Budget_par_jour" vbProcedure="false">#REF!</definedName>
    <definedName function="false" hidden="false" localSheetId="3" name="Code_budgétaire" vbProcedure="false">#REF!</definedName>
    <definedName function="false" hidden="false" localSheetId="3" name="DSN_Names" vbProcedure="false">[2]input!#ref!</definedName>
    <definedName function="false" hidden="false" localSheetId="3" name="Excel_BuiltIn_Print_Area_1_1" vbProcedure="false">#REF!</definedName>
    <definedName function="false" hidden="false" localSheetId="3" name="Fonction_RH" vbProcedure="false">#REF!</definedName>
    <definedName function="false" hidden="false" localSheetId="3" name="Jour_calendrier" vbProcedure="false">#REF!</definedName>
    <definedName function="false" hidden="false" localSheetId="3" name="Ligne_Budgétaire" vbProcedure="false">#REF!</definedName>
    <definedName function="false" hidden="false" localSheetId="3" name="SQLString" vbProcedure="false">[2]input!#ref!</definedName>
    <definedName function="false" hidden="false" localSheetId="3" name="Tableau_RH" vbProcedure="false">#REF!</definedName>
    <definedName function="false" hidden="false" localSheetId="3" name="Tableau_trésorerie_par_jour" vbProcedure="false">#REF!</definedName>
    <definedName function="false" hidden="false" localSheetId="4" name="Budget" vbProcedure="false">#REF!</definedName>
    <definedName function="false" hidden="false" localSheetId="4" name="Budget_par_jour" vbProcedure="false">#REF!</definedName>
    <definedName function="false" hidden="false" localSheetId="4" name="Code_budgétaire" vbProcedure="false">#REF!</definedName>
    <definedName function="false" hidden="false" localSheetId="4" name="DSN_Names" vbProcedure="false">[2]input!#ref!</definedName>
    <definedName function="false" hidden="false" localSheetId="4" name="Excel_BuiltIn_Print_Area_1_1" vbProcedure="false">#REF!</definedName>
    <definedName function="false" hidden="false" localSheetId="4" name="Fonction_RH" vbProcedure="false">#REF!</definedName>
    <definedName function="false" hidden="false" localSheetId="4" name="Jour_calendrier" vbProcedure="false">#REF!</definedName>
    <definedName function="false" hidden="false" localSheetId="4" name="Ligne_Budgétaire" vbProcedure="false">#REF!</definedName>
    <definedName function="false" hidden="false" localSheetId="4" name="SQLString" vbProcedure="false">[2]input!#ref!</definedName>
    <definedName function="false" hidden="false" localSheetId="4" name="Tableau_RH" vbProcedure="false">#REF!</definedName>
    <definedName function="false" hidden="false" localSheetId="4" name="Tableau_trésorerie_par_jour" vbProcedure="false">#REF!</definedName>
    <definedName function="false" hidden="false" localSheetId="5" name="Budget" vbProcedure="false">#REF!</definedName>
    <definedName function="false" hidden="false" localSheetId="5" name="Budget_par_jour" vbProcedure="false">#REF!</definedName>
    <definedName function="false" hidden="false" localSheetId="5" name="Code_budgétaire" vbProcedure="false">#REF!</definedName>
    <definedName function="false" hidden="false" localSheetId="5" name="DSN_Names" vbProcedure="false">[2]input!#ref!</definedName>
    <definedName function="false" hidden="false" localSheetId="5" name="Excel_BuiltIn_Print_Area_1_1" vbProcedure="false">#REF!</definedName>
    <definedName function="false" hidden="false" localSheetId="5" name="Fonction_RH" vbProcedure="false">#REF!</definedName>
    <definedName function="false" hidden="false" localSheetId="5" name="Jour_calendrier" vbProcedure="false">#REF!</definedName>
    <definedName function="false" hidden="false" localSheetId="5" name="Ligne_Budgétaire" vbProcedure="false">#REF!</definedName>
    <definedName function="false" hidden="false" localSheetId="5" name="SQLString" vbProcedure="false">[2]input!#ref!</definedName>
    <definedName function="false" hidden="false" localSheetId="5" name="Tableau_RH" vbProcedure="false">#REF!</definedName>
    <definedName function="false" hidden="false" localSheetId="5" name="Tableau_trésorerie_par_jour" vbProcedure="false">#REF!</definedName>
    <definedName function="false" hidden="false" localSheetId="6" name="Budget" vbProcedure="false">#REF!</definedName>
    <definedName function="false" hidden="false" localSheetId="6" name="Budget_par_jour" vbProcedure="false">#REF!</definedName>
    <definedName function="false" hidden="false" localSheetId="6" name="Code_budgétaire" vbProcedure="false">#REF!</definedName>
    <definedName function="false" hidden="false" localSheetId="6" name="DSN_Names" vbProcedure="false">[2]input!#ref!</definedName>
    <definedName function="false" hidden="false" localSheetId="6" name="Excel_BuiltIn_Print_Area_1_1" vbProcedure="false">#REF!</definedName>
    <definedName function="false" hidden="false" localSheetId="6" name="Fonction_RH" vbProcedure="false">#REF!</definedName>
    <definedName function="false" hidden="false" localSheetId="6" name="Jour_calendrier" vbProcedure="false">#REF!</definedName>
    <definedName function="false" hidden="false" localSheetId="6" name="Ligne_Budgétaire" vbProcedure="false">#REF!</definedName>
    <definedName function="false" hidden="false" localSheetId="6" name="SQLString" vbProcedure="false">[2]input!#ref!</definedName>
    <definedName function="false" hidden="false" localSheetId="6" name="Tableau_RH" vbProcedure="false">#REF!</definedName>
    <definedName function="false" hidden="false" localSheetId="6" name="Tableau_trésorerie_par_jour" vbProcedure="false">#REF!</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O3" authorId="0">
      <text>
        <r>
          <rPr>
            <sz val="10"/>
            <rFont val="Arial"/>
            <family val="2"/>
          </rPr>
          <t xml:space="preserve">User:
</t>
        </r>
        <r>
          <rPr>
            <sz val="9"/>
            <color rgb="FF000000"/>
            <rFont val="Tahoma"/>
            <family val="2"/>
            <charset val="1"/>
          </rPr>
          <t xml:space="preserve">Ponctuel ou regulier</t>
        </r>
      </text>
    </comment>
  </commentList>
</comments>
</file>

<file path=xl/sharedStrings.xml><?xml version="1.0" encoding="utf-8"?>
<sst xmlns="http://schemas.openxmlformats.org/spreadsheetml/2006/main" count="3461" uniqueCount="1478">
  <si>
    <t xml:space="preserve">PAYER</t>
  </si>
  <si>
    <t xml:space="preserve">SUIVI COMMANDE</t>
  </si>
  <si>
    <t xml:space="preserve">A PAYER</t>
  </si>
  <si>
    <t xml:space="preserve">SOLDE</t>
  </si>
  <si>
    <t xml:space="preserve"># Nr.</t>
  </si>
  <si>
    <t xml:space="preserve">Date CDE</t>
  </si>
  <si>
    <t xml:space="preserve">Entité</t>
  </si>
  <si>
    <t xml:space="preserve">Demandeur</t>
  </si>
  <si>
    <t xml:space="preserve">Service Demandeur</t>
  </si>
  <si>
    <t xml:space="preserve">Acheteur</t>
  </si>
  <si>
    <t xml:space="preserve">Fournisseur</t>
  </si>
  <si>
    <t xml:space="preserve">Affaire/Commande</t>
  </si>
  <si>
    <t xml:space="preserve">N° Bon commande</t>
  </si>
  <si>
    <t xml:space="preserve">Date Livraison</t>
  </si>
  <si>
    <t xml:space="preserve">N° Bon Livraison</t>
  </si>
  <si>
    <t xml:space="preserve">Facture</t>
  </si>
  <si>
    <t xml:space="preserve">Montant</t>
  </si>
  <si>
    <t xml:space="preserve">Avance</t>
  </si>
  <si>
    <t xml:space="preserve">Solde</t>
  </si>
  <si>
    <t xml:space="preserve">Date Paiement</t>
  </si>
  <si>
    <t xml:space="preserve">Statut</t>
  </si>
  <si>
    <t xml:space="preserve">Delai</t>
  </si>
  <si>
    <t xml:space="preserve">Commentaire</t>
  </si>
  <si>
    <t xml:space="preserve">AFRILUX</t>
  </si>
  <si>
    <t xml:space="preserve">Direction Générale</t>
  </si>
  <si>
    <t xml:space="preserve">ALAIN</t>
  </si>
  <si>
    <t xml:space="preserve">ETS GREEN</t>
  </si>
  <si>
    <t xml:space="preserve">Transport des compteuses de l'usine de Wenzhou (Chine) jusqu'à la livraison à domicile à Yaoundé</t>
  </si>
  <si>
    <t xml:space="preserve">SMART</t>
  </si>
  <si>
    <t xml:space="preserve">MBIAKAUP MBIANDOU</t>
  </si>
  <si>
    <t xml:space="preserve">Ingenierie</t>
  </si>
  <si>
    <t xml:space="preserve">JISLAIN</t>
  </si>
  <si>
    <t xml:space="preserve">BAT ELEC</t>
  </si>
  <si>
    <t xml:space="preserve">Câble réseau (410m)</t>
  </si>
  <si>
    <t xml:space="preserve">MIT ELEC</t>
  </si>
  <si>
    <t xml:space="preserve">Câble électrique</t>
  </si>
  <si>
    <t xml:space="preserve">NIKITA MFEYET</t>
  </si>
  <si>
    <t xml:space="preserve">Marketing</t>
  </si>
  <si>
    <t xml:space="preserve">GILLES</t>
  </si>
  <si>
    <t xml:space="preserve">LMT</t>
  </si>
  <si>
    <t xml:space="preserve">Bulk SMS/campagne destockage</t>
  </si>
  <si>
    <t xml:space="preserve">WOUE Express</t>
  </si>
  <si>
    <t xml:space="preserve">Table, chaise pliables et emballage plastique</t>
  </si>
  <si>
    <t xml:space="preserve">KENGNE ARIANE</t>
  </si>
  <si>
    <t xml:space="preserve">Commerciale</t>
  </si>
  <si>
    <t xml:space="preserve">ATANGANA KOLO PROTAIS</t>
  </si>
  <si>
    <t xml:space="preserve">Enlèvement et acheminement colis MC3 F25LG09578</t>
  </si>
  <si>
    <t xml:space="preserve">FR052/11/25</t>
  </si>
  <si>
    <t xml:space="preserve">PATRICK NDIOMO</t>
  </si>
  <si>
    <t xml:space="preserve">Enlèvement et acheminement colis EVOLIS N°125005765 et 125005766 (groupage)</t>
  </si>
  <si>
    <t xml:space="preserve">ETS NOUVELLE OPTION SERVICE &amp; COMPAGNIE (NDB)</t>
  </si>
  <si>
    <t xml:space="preserve">ONDULEUR APC 1000VA</t>
  </si>
  <si>
    <t xml:space="preserve">MARIE CHRISTINE</t>
  </si>
  <si>
    <t xml:space="preserve">DEE LITE</t>
  </si>
  <si>
    <t xml:space="preserve">Reapprovisionnement electromenager Agene soleil</t>
  </si>
  <si>
    <t xml:space="preserve">ASHU TSOTEZO</t>
  </si>
  <si>
    <t xml:space="preserve">POLYVALENT HIGH SOLUTIONS</t>
  </si>
  <si>
    <t xml:space="preserve">Cable incendie OMERIN PYRISOL CR1-C1 2x1.5mm *2</t>
  </si>
  <si>
    <t xml:space="preserve">0347/2025</t>
  </si>
  <si>
    <t xml:space="preserve">DJAMPOU FABRICE</t>
  </si>
  <si>
    <t xml:space="preserve">Froid &amp; climatisation</t>
  </si>
  <si>
    <t xml:space="preserve">ECLAIRAGE LANCO</t>
  </si>
  <si>
    <t xml:space="preserve">Travaux SCI Golf : fourniture matériel électrique</t>
  </si>
  <si>
    <t xml:space="preserve">BC018ACH3012</t>
  </si>
  <si>
    <t xml:space="preserve">BC014ACH2912</t>
  </si>
  <si>
    <t xml:space="preserve">BC015ACH2912</t>
  </si>
  <si>
    <t xml:space="preserve">BC016ACH2912</t>
  </si>
  <si>
    <t xml:space="preserve">EDMONG FONGANG</t>
  </si>
  <si>
    <t xml:space="preserve">Courant fort</t>
  </si>
  <si>
    <t xml:space="preserve">GECOM</t>
  </si>
  <si>
    <t xml:space="preserve">Fourniture kit conference salle conseil (étage 10) CCA Bonanjo</t>
  </si>
  <si>
    <t xml:space="preserve">HQCF2512DGC251</t>
  </si>
  <si>
    <t xml:space="preserve">Complément matériel FIDEV </t>
  </si>
  <si>
    <t xml:space="preserve">HQCF2512YDE125</t>
  </si>
  <si>
    <t xml:space="preserve">MOUMI YANNICK</t>
  </si>
  <si>
    <t xml:space="preserve">HUB CONNECT ETS</t>
  </si>
  <si>
    <t xml:space="preserve">Haut parleur conference JABRA</t>
  </si>
  <si>
    <t xml:space="preserve">DGCF2512SIE834</t>
  </si>
  <si>
    <t xml:space="preserve">BORREL</t>
  </si>
  <si>
    <t xml:space="preserve">IT &amp; SAV</t>
  </si>
  <si>
    <t xml:space="preserve">L&amp;D REVOLUTION</t>
  </si>
  <si>
    <t xml:space="preserve">Depannage copieur CCA Bonanjo 5e étage</t>
  </si>
  <si>
    <t xml:space="preserve">BC019ACH3112</t>
  </si>
  <si>
    <t xml:space="preserve">SIMO FRANCOIS</t>
  </si>
  <si>
    <t xml:space="preserve">KES SARL</t>
  </si>
  <si>
    <t xml:space="preserve">Avenant travaux chantier CCA Bonanjo</t>
  </si>
  <si>
    <t xml:space="preserve">BC002ACH0601</t>
  </si>
  <si>
    <t xml:space="preserve">DGCF2512SIE836</t>
  </si>
  <si>
    <t xml:space="preserve">BC003ACH0601</t>
  </si>
  <si>
    <t xml:space="preserve">CAMEROUN ISOLATION THERMIQUE</t>
  </si>
  <si>
    <t xml:space="preserve">BC004ACH0801</t>
  </si>
  <si>
    <t xml:space="preserve">GENERALE DES MAINTENANCES</t>
  </si>
  <si>
    <t xml:space="preserve">BC005ACH0801</t>
  </si>
  <si>
    <t xml:space="preserve">AMIF ELECTRONIQUE</t>
  </si>
  <si>
    <t xml:space="preserve">HQCF2601BAF001</t>
  </si>
  <si>
    <t xml:space="preserve">CHRIST DEBT</t>
  </si>
  <si>
    <t xml:space="preserve">Achat barette mémoire DDR4 Desktop 08 Gb</t>
  </si>
  <si>
    <t xml:space="preserve">DGCF2601SIE003</t>
  </si>
  <si>
    <t xml:space="preserve">COGENI</t>
  </si>
  <si>
    <t xml:space="preserve">Chantier GREENPEACE</t>
  </si>
  <si>
    <t xml:space="preserve">HQCF2512YDE118</t>
  </si>
  <si>
    <t xml:space="preserve">HQCF2512YDE123</t>
  </si>
  <si>
    <t xml:space="preserve">HQCF2512YDE119</t>
  </si>
  <si>
    <t xml:space="preserve">DEGA SECURITY</t>
  </si>
  <si>
    <t xml:space="preserve">HQCF2512YDE122</t>
  </si>
  <si>
    <t xml:space="preserve">CAMTEC</t>
  </si>
  <si>
    <t xml:space="preserve">HQCF2512YDE120</t>
  </si>
  <si>
    <t xml:space="preserve">Matériel projet Mbakaou</t>
  </si>
  <si>
    <t xml:space="preserve">HQCF2601DGC004</t>
  </si>
  <si>
    <t xml:space="preserve">DJIMY TECHNOLOGIE SERVICES</t>
  </si>
  <si>
    <t xml:space="preserve">08 ORDINATEUR COMPLET HP 290 CORE I5 RAM 16GB DD 1TB</t>
  </si>
  <si>
    <t xml:space="preserve">DGCF2601SIE027</t>
  </si>
  <si>
    <t xml:space="preserve">INTEK CAMEROUN</t>
  </si>
  <si>
    <t xml:space="preserve">12 ONDULEUR APC SMART-UPS RV 2000VA 230V</t>
  </si>
  <si>
    <t xml:space="preserve">DGCF2601SIE029</t>
  </si>
  <si>
    <t xml:space="preserve">ETS KARTHIK</t>
  </si>
  <si>
    <t xml:space="preserve">09 REFRIGERATEUR HISENSE 100L</t>
  </si>
  <si>
    <t xml:space="preserve">DGCF2601SIE021</t>
  </si>
  <si>
    <t xml:space="preserve">PROMO CONSTRUCTION SARL</t>
  </si>
  <si>
    <t xml:space="preserve">FABRICATION DU MOBILIER DE BUREAU</t>
  </si>
  <si>
    <t xml:space="preserve">DGCF2601SIE024</t>
  </si>
  <si>
    <t xml:space="preserve">DG MPONDO</t>
  </si>
  <si>
    <t xml:space="preserve">SODICAM SARL</t>
  </si>
  <si>
    <t xml:space="preserve">01 CAFETIERE</t>
  </si>
  <si>
    <t xml:space="preserve">DGCF2601SIE017</t>
  </si>
  <si>
    <t xml:space="preserve">ATOUBA MARIE CHRISTINE</t>
  </si>
  <si>
    <t xml:space="preserve">ANACONDA</t>
  </si>
  <si>
    <t xml:space="preserve">04 FAUTEUIL SECRETAIRE</t>
  </si>
  <si>
    <t xml:space="preserve">DGCF2601SIE013</t>
  </si>
  <si>
    <t xml:space="preserve">GILLES, DONALD ET VICTOIRE</t>
  </si>
  <si>
    <t xml:space="preserve">SOCIETE GROUP CAMIS SARL</t>
  </si>
  <si>
    <t xml:space="preserve">05 MACHINES PROBOOK 450 ET 460</t>
  </si>
  <si>
    <t xml:space="preserve">DGCF2601SIE018</t>
  </si>
  <si>
    <t xml:space="preserve">MIRIAME NSENGUET</t>
  </si>
  <si>
    <t xml:space="preserve">AFRICA UNIV TECHNOLOGY SARL</t>
  </si>
  <si>
    <t xml:space="preserve">03 WINDOWS SERVER 2025 STANDARDS-16 CORE LICENSE PACK</t>
  </si>
  <si>
    <t xml:space="preserve">DGCF2601SIE016</t>
  </si>
  <si>
    <t xml:space="preserve">ETAME MURIEL</t>
  </si>
  <si>
    <t xml:space="preserve">ETS TOUT </t>
  </si>
  <si>
    <t xml:space="preserve">83 CENTRIFUGEUSE</t>
  </si>
  <si>
    <t xml:space="preserve">DGCF2601SIE015</t>
  </si>
  <si>
    <t xml:space="preserve">MOBOU MICHELINE</t>
  </si>
  <si>
    <t xml:space="preserve">STE ICE</t>
  </si>
  <si>
    <t xml:space="preserve">13 CHAISE DE CONFERENCE NON PLIANTE</t>
  </si>
  <si>
    <t xml:space="preserve">DGCF2601SIE010</t>
  </si>
  <si>
    <t xml:space="preserve">ORCA</t>
  </si>
  <si>
    <t xml:space="preserve">03 FAUTEUIL DE BUREAU ORTHOPEDIQUE</t>
  </si>
  <si>
    <t xml:space="preserve">DGCF2601SIE009</t>
  </si>
  <si>
    <t xml:space="preserve">01 TELEVISEUR HISENSE 65'' SMART</t>
  </si>
  <si>
    <t xml:space="preserve">DGCF2601SIE011</t>
  </si>
  <si>
    <t xml:space="preserve">NGO MBEM</t>
  </si>
  <si>
    <t xml:space="preserve">RELIANCE</t>
  </si>
  <si>
    <t xml:space="preserve">01 ARMOIRE METALIQUE RIDEAU</t>
  </si>
  <si>
    <t xml:space="preserve">DGCF2601SIE034</t>
  </si>
  <si>
    <t xml:space="preserve">30 LICENCES WINDOWS 11 PRO 64 BITS + COFFRET</t>
  </si>
  <si>
    <t xml:space="preserve">DGCF2601SIE039</t>
  </si>
  <si>
    <t xml:space="preserve">MEKOUEKENG GABRIEL</t>
  </si>
  <si>
    <t xml:space="preserve">ALL POOL SARL</t>
  </si>
  <si>
    <t xml:space="preserve">PLUSIEURS ARTICLES POUR LE GUICHET CCA TRADEX</t>
  </si>
  <si>
    <t xml:space="preserve">HQCF2601DG012</t>
  </si>
  <si>
    <t xml:space="preserve">DEGA SECURITY ETS</t>
  </si>
  <si>
    <t xml:space="preserve">11 PEDALE D'ALARME</t>
  </si>
  <si>
    <t xml:space="preserve">HQCF2601YDE004</t>
  </si>
  <si>
    <t xml:space="preserve">AMINGUE DONGMO</t>
  </si>
  <si>
    <t xml:space="preserve">CAMTEC SARL</t>
  </si>
  <si>
    <t xml:space="preserve">PLUSIEURS ARTICLES POUR CCA MESSASSI ET NKOABANG</t>
  </si>
  <si>
    <t xml:space="preserve">HQCF2601DGC005</t>
  </si>
  <si>
    <t xml:space="preserve">PACK PROMO DE 6 MOTOROLA XT460 + 6 OREILLETTES BODYGUARD</t>
  </si>
  <si>
    <t xml:space="preserve">HQCF2601DGC008</t>
  </si>
  <si>
    <t xml:space="preserve">BAT-ELEQ SARL</t>
  </si>
  <si>
    <t xml:space="preserve">CABLE U100 3*2,5M ET CABLE RESEAUX APKR CAT6A</t>
  </si>
  <si>
    <t xml:space="preserve">HQCF2601DGC007</t>
  </si>
  <si>
    <t xml:space="preserve">CHRIST DEBT COMPUTER</t>
  </si>
  <si>
    <t xml:space="preserve">ACHAT DES TONERS</t>
  </si>
  <si>
    <t xml:space="preserve">DGCF2601SIE044</t>
  </si>
  <si>
    <t xml:space="preserve">NSENGUET MYRIAME</t>
  </si>
  <si>
    <t xml:space="preserve">ZEGHOST SARL</t>
  </si>
  <si>
    <t xml:space="preserve">ACHAT DES SERVEURS POUR CCA</t>
  </si>
  <si>
    <t xml:space="preserve">DGCF2601SIE040</t>
  </si>
  <si>
    <t xml:space="preserve">XPERBM CAMEROUN</t>
  </si>
  <si>
    <t xml:space="preserve">DGCF2601SIE043</t>
  </si>
  <si>
    <t xml:space="preserve">ACHAT 02 PROBOOK 450 CORE I7 RAM 16GB DD 1TB</t>
  </si>
  <si>
    <t xml:space="preserve">DGCF2601SIE050</t>
  </si>
  <si>
    <t xml:space="preserve">CABLE RESEAU FTP CAT 6 ET CABLE U100 3*2MM</t>
  </si>
  <si>
    <t xml:space="preserve">HQCF2601DGC017</t>
  </si>
  <si>
    <t xml:space="preserve">BATERIE 12V/7AH</t>
  </si>
  <si>
    <t xml:space="preserve">HQCF2512YDE124</t>
  </si>
  <si>
    <t xml:space="preserve">SUPPORT UNIVERSEL, VENTOUSE MAGNETIQUE ET RAPPEL PORTE</t>
  </si>
  <si>
    <t xml:space="preserve">HQCF2512YDE115</t>
  </si>
  <si>
    <t xml:space="preserve">ACCES CONTROL TERMINAL</t>
  </si>
  <si>
    <t xml:space="preserve">HQCF2512YDE114</t>
  </si>
  <si>
    <t xml:space="preserve">HQCF2601DGC020</t>
  </si>
  <si>
    <t xml:space="preserve">BATERIE 12V/7AH, MAGNETIC LOCK, DOOR CLOSER 75KG</t>
  </si>
  <si>
    <t xml:space="preserve">HQCF2601DGC018</t>
  </si>
  <si>
    <t xml:space="preserve">NEWTECH ETS</t>
  </si>
  <si>
    <t xml:space="preserve">ACCES CONTROL TERMINAL, ACCES CONTRAL OEVICE</t>
  </si>
  <si>
    <t xml:space="preserve">HQCF2601DGC019</t>
  </si>
  <si>
    <t xml:space="preserve">CHRISTY BUSINESS CENTER SARL</t>
  </si>
  <si>
    <t xml:space="preserve">ACHAT DES T ET ENCRES</t>
  </si>
  <si>
    <t xml:space="preserve">DGCF2601SIE054</t>
  </si>
  <si>
    <t xml:space="preserve">VICTOIRE</t>
  </si>
  <si>
    <t xml:space="preserve">COGEICOM SARL</t>
  </si>
  <si>
    <t xml:space="preserve">IMPRIMANTE HP COLOR PRO M283FDW</t>
  </si>
  <si>
    <t xml:space="preserve">DGCF2601SIE051</t>
  </si>
  <si>
    <t xml:space="preserve">ETS THE HUB CONNECT</t>
  </si>
  <si>
    <t xml:space="preserve">MATERIEL INFORMATIQUE POUR PMUD</t>
  </si>
  <si>
    <t xml:space="preserve">DGCF2601SIE041</t>
  </si>
  <si>
    <t xml:space="preserve">K-K WOOD MASTER SARL</t>
  </si>
  <si>
    <t xml:space="preserve">40 MEUBLES POUR CAFETIERE</t>
  </si>
  <si>
    <t xml:space="preserve">DGCF2512SIE832</t>
  </si>
  <si>
    <t xml:space="preserve">ACHU TSOTEZO</t>
  </si>
  <si>
    <t xml:space="preserve">AFRILUX SA</t>
  </si>
  <si>
    <t xml:space="preserve">01 TELEVISEUR LG 49'' SMART</t>
  </si>
  <si>
    <t xml:space="preserve">HQCF2601DLA001</t>
  </si>
  <si>
    <t xml:space="preserve">ERO SARL</t>
  </si>
  <si>
    <t xml:space="preserve">ENCERCLEUSE BANKNOTE </t>
  </si>
  <si>
    <t xml:space="preserve">DGCF2512SIE827</t>
  </si>
  <si>
    <t xml:space="preserve">OUI</t>
  </si>
  <si>
    <t xml:space="preserve">05 PORTATIFS PROBOOK 450 CORE I5 ET CORE I7 RAM 16 DD 1TB</t>
  </si>
  <si>
    <t xml:space="preserve">DGCF2512SIE839</t>
  </si>
  <si>
    <t xml:space="preserve">PRIMO SARL</t>
  </si>
  <si>
    <t xml:space="preserve">12 REGULATEUR DE TENSION 1500VA</t>
  </si>
  <si>
    <t xml:space="preserve">DGCF2601SIE026</t>
  </si>
  <si>
    <t xml:space="preserve">SOLDER PAR BON D'ACHAT</t>
  </si>
  <si>
    <t xml:space="preserve">GEORGES FABO</t>
  </si>
  <si>
    <t xml:space="preserve">Courant faible</t>
  </si>
  <si>
    <t xml:space="preserve">MAGTEK EUROPE</t>
  </si>
  <si>
    <t xml:space="preserve">KIT MAINTENANCE EMBOSSEUSE</t>
  </si>
  <si>
    <t xml:space="preserve">HQCF2512DGC232</t>
  </si>
  <si>
    <t xml:space="preserve">MITELEC ETS</t>
  </si>
  <si>
    <t xml:space="preserve">ACHAT PETIT MATERIEL</t>
  </si>
  <si>
    <t xml:space="preserve">HQCF2601DGC023</t>
  </si>
  <si>
    <t xml:space="preserve">FODJO</t>
  </si>
  <si>
    <t xml:space="preserve">ALBERTO</t>
  </si>
  <si>
    <t xml:space="preserve">POUMONS D'ALARME</t>
  </si>
  <si>
    <t xml:space="preserve">HQCF2601YDE001</t>
  </si>
  <si>
    <t xml:space="preserve">PEDALE D'ALARME</t>
  </si>
  <si>
    <t xml:space="preserve">HQCF2601YDE002</t>
  </si>
  <si>
    <t xml:space="preserve">VENTOUSE MAGNETIQUE</t>
  </si>
  <si>
    <t xml:space="preserve">HQCF2601DGC010</t>
  </si>
  <si>
    <t xml:space="preserve">CABLE, CABLE RESEAU ET PARAFOUDRE</t>
  </si>
  <si>
    <t xml:space="preserve">HQCF2601DGC013</t>
  </si>
  <si>
    <t xml:space="preserve">KIT DE 8 MICRO CONFERENCE BALADEUR</t>
  </si>
  <si>
    <t xml:space="preserve">INTEK SARL</t>
  </si>
  <si>
    <t xml:space="preserve">ONDULEUR APC 6 KVA</t>
  </si>
  <si>
    <t xml:space="preserve">HQCF2601DGC002</t>
  </si>
  <si>
    <t xml:space="preserve">HQCF2601DGC001</t>
  </si>
  <si>
    <t xml:space="preserve">HQCF2601DGC003</t>
  </si>
  <si>
    <t xml:space="preserve">PYRONIX</t>
  </si>
  <si>
    <t xml:space="preserve">MATERIEL SECURITE INCENDIE</t>
  </si>
  <si>
    <t xml:space="preserve">HQCF2601DGC016</t>
  </si>
  <si>
    <t xml:space="preserve">RAMATOU</t>
  </si>
  <si>
    <t xml:space="preserve">COFRELEC</t>
  </si>
  <si>
    <t xml:space="preserve">CLIMATISSEUR CONSOLE HISENSE 3CV </t>
  </si>
  <si>
    <t xml:space="preserve">DGCF2601SIE058</t>
  </si>
  <si>
    <t xml:space="preserve">LP SERVICE + SARL</t>
  </si>
  <si>
    <t xml:space="preserve">ACHAT MATERIEL SERVICE FROID</t>
  </si>
  <si>
    <t xml:space="preserve">DGCF2601SIE056</t>
  </si>
  <si>
    <t xml:space="preserve">DGCF2601SIE057</t>
  </si>
  <si>
    <t xml:space="preserve">RENE MPONDO</t>
  </si>
  <si>
    <t xml:space="preserve">BLUE SQUARE SARL</t>
  </si>
  <si>
    <t xml:space="preserve">AMENAGEMENT SHOWROOM AKWA</t>
  </si>
  <si>
    <t xml:space="preserve">DGCF2601SIE055</t>
  </si>
  <si>
    <t xml:space="preserve">GEROGES FABO</t>
  </si>
  <si>
    <t xml:space="preserve">ACHAT MATERIEL SECURITE INCENDIE SMART</t>
  </si>
  <si>
    <t xml:space="preserve">ECRAN TV 43''</t>
  </si>
  <si>
    <t xml:space="preserve">HQCF2601YDE007</t>
  </si>
  <si>
    <t xml:space="preserve">ACHAT DES ARTICLES POUR AMENAGEMENT DU PCA</t>
  </si>
  <si>
    <t xml:space="preserve">HQCF2601DGC031</t>
  </si>
  <si>
    <t xml:space="preserve">ARMOIRE ET TABLE BASSE</t>
  </si>
  <si>
    <t xml:space="preserve">DGCF2601SIE059</t>
  </si>
  <si>
    <t xml:space="preserve">LA BELIEZE LA PAZ</t>
  </si>
  <si>
    <t xml:space="preserve">ARMOIRE DE RANGEMENT ET CHAISE VISITEUR</t>
  </si>
  <si>
    <t xml:space="preserve">DGCF2601SIE060</t>
  </si>
  <si>
    <t xml:space="preserve">ACHAT MATERIEL POUR CHANTIER SABC</t>
  </si>
  <si>
    <t xml:space="preserve">HQCF2601DGC030</t>
  </si>
  <si>
    <t xml:space="preserve">ACHAT MATERIEL POUR AFRIASSUR</t>
  </si>
  <si>
    <t xml:space="preserve">HQCF2601DGC029</t>
  </si>
  <si>
    <t xml:space="preserve">RESOTEL</t>
  </si>
  <si>
    <t xml:space="preserve">ACHAT TELEPHONE ET AUTOCOM PANASONICPOUR AFRILIFE BONAPRISO</t>
  </si>
  <si>
    <t xml:space="preserve">HQCF2601DGC028</t>
  </si>
  <si>
    <t xml:space="preserve">ACHAT TELEPHONE ET AUTOCOM PANASONIC POUR AFRILIFE AKWA</t>
  </si>
  <si>
    <t xml:space="preserve">HQCF2601DGC026</t>
  </si>
  <si>
    <t xml:space="preserve">CABLE ELECTRIQUE 4-16mm2 RIGIDE R2V</t>
  </si>
  <si>
    <t xml:space="preserve">HQCF2601DGC027</t>
  </si>
  <si>
    <t xml:space="preserve">THIERRY</t>
  </si>
  <si>
    <t xml:space="preserve">PREMICE COMPUTER</t>
  </si>
  <si>
    <t xml:space="preserve">ORDINATEUR COMPLET PRODESK 400 G9 CORE I7 RAM 16GB DD 512GB SSD </t>
  </si>
  <si>
    <t xml:space="preserve">DGCF2601SIE065</t>
  </si>
  <si>
    <t xml:space="preserve">BERTRAND</t>
  </si>
  <si>
    <t xml:space="preserve">GROUP EMMA SARL</t>
  </si>
  <si>
    <t xml:space="preserve">02 CLIMATISSEUR HISENSE 1,5CV</t>
  </si>
  <si>
    <t xml:space="preserve">DGCF2601SIE063</t>
  </si>
  <si>
    <t xml:space="preserve">M365-MICROSOFT</t>
  </si>
  <si>
    <t xml:space="preserve">DGCF2601SIE064</t>
  </si>
  <si>
    <t xml:space="preserve">ACHAT PETIT MATERIEL SERVICE FROID</t>
  </si>
  <si>
    <t xml:space="preserve">DGCF2601SIE061</t>
  </si>
  <si>
    <t xml:space="preserve">AHY GROUP</t>
  </si>
  <si>
    <t xml:space="preserve">DGCF2601SIE062</t>
  </si>
  <si>
    <t xml:space="preserve">NASH CONCEPT</t>
  </si>
  <si>
    <t xml:space="preserve">IMPRESSION DES TEE SHIRTS ET AUTRES</t>
  </si>
  <si>
    <t xml:space="preserve">BC011ACH2801</t>
  </si>
  <si>
    <t xml:space="preserve">ACHAT CABLE 3*2,5mm ROULEAU</t>
  </si>
  <si>
    <t xml:space="preserve">HQCF2601DGC024</t>
  </si>
  <si>
    <t xml:space="preserve">CAMERA DOME IP 4MP</t>
  </si>
  <si>
    <t xml:space="preserve">HQCF2601YDE010</t>
  </si>
  <si>
    <t xml:space="preserve">NOW TECHNOLOGIE CENTER SARL</t>
  </si>
  <si>
    <t xml:space="preserve">DISQUE DUR 10 TERA</t>
  </si>
  <si>
    <t xml:space="preserve">HQCF2601YDE009</t>
  </si>
  <si>
    <t xml:space="preserve">3D PRINT</t>
  </si>
  <si>
    <t xml:space="preserve">IMPRESSION PLAQUE DE 17*3M SUR VYNIL</t>
  </si>
  <si>
    <t xml:space="preserve">BC013ACH3001</t>
  </si>
  <si>
    <t xml:space="preserve">DMR TECNOLOGY</t>
  </si>
  <si>
    <t xml:space="preserve">KIT COMPLETE ET LOGITECH</t>
  </si>
  <si>
    <t xml:space="preserve">HQCF2601YDE008</t>
  </si>
  <si>
    <t xml:space="preserve">SERVICE FACTURATION</t>
  </si>
  <si>
    <t xml:space="preserve">GROUPE MULTI-TECH</t>
  </si>
  <si>
    <t xml:space="preserve">BC012ACH1501</t>
  </si>
  <si>
    <t xml:space="preserve">EDENE ATEBA</t>
  </si>
  <si>
    <t xml:space="preserve">ETS JPK BUSINESS</t>
  </si>
  <si>
    <t xml:space="preserve">BROYEUR A PAPIER</t>
  </si>
  <si>
    <t xml:space="preserve">DGCF2601SIE052</t>
  </si>
  <si>
    <t xml:space="preserve">PLUSIEURS CAMERA PROJET EDC MBAKAOU</t>
  </si>
  <si>
    <t xml:space="preserve">MPA TECH &amp; SERVICE SARL</t>
  </si>
  <si>
    <t xml:space="preserve">PARAFOUDRE PRD40KA 4P, COFFRET ET DISJONCTEUR</t>
  </si>
  <si>
    <t xml:space="preserve">HQCF2602DGC038</t>
  </si>
  <si>
    <t xml:space="preserve">WN CONSULTING</t>
  </si>
  <si>
    <t xml:space="preserve">CONVERTISSEUR OPTIQUE, OUTDOOR ET JARRIETIERE</t>
  </si>
  <si>
    <t xml:space="preserve">HQCF2602DGC037</t>
  </si>
  <si>
    <t xml:space="preserve">ETS LIGHTS CONNEXION SERVICE</t>
  </si>
  <si>
    <t xml:space="preserve">CABLE, FICHES ET ELBASES</t>
  </si>
  <si>
    <t xml:space="preserve">HQCF2602DGC036</t>
  </si>
  <si>
    <t xml:space="preserve">DATCHOP</t>
  </si>
  <si>
    <t xml:space="preserve">INTERFACE</t>
  </si>
  <si>
    <t xml:space="preserve">JEU DE 02 TONER 205A</t>
  </si>
  <si>
    <t xml:space="preserve">DGCF2602SIE066</t>
  </si>
  <si>
    <t xml:space="preserve">SUPER TRONICS SARL</t>
  </si>
  <si>
    <t xml:space="preserve">10 CAFETIERE MOULINEX PR LIVRAISON CCA</t>
  </si>
  <si>
    <t xml:space="preserve">DGCF2602SIE067</t>
  </si>
  <si>
    <t xml:space="preserve">LANDO HENRI</t>
  </si>
  <si>
    <t xml:space="preserve">ACHAT MATERIEL POUR LES FOUILLES DE EDC</t>
  </si>
  <si>
    <t xml:space="preserve">HQCF2602DGC040</t>
  </si>
  <si>
    <t xml:space="preserve">Logistique</t>
  </si>
  <si>
    <t xml:space="preserve">GARAGE MAN DIESEL AUTOMOBILE</t>
  </si>
  <si>
    <t xml:space="preserve">REPARATION VOITURE</t>
  </si>
  <si>
    <t xml:space="preserve">BC014ACH3001</t>
  </si>
  <si>
    <t xml:space="preserve">OKALA JEREMIE</t>
  </si>
  <si>
    <t xml:space="preserve">GARAGE SHU NEBA</t>
  </si>
  <si>
    <t xml:space="preserve">BC016ACH3001</t>
  </si>
  <si>
    <t xml:space="preserve">02/02/0202</t>
  </si>
  <si>
    <t xml:space="preserve">200 CHAISES DE BANQUET</t>
  </si>
  <si>
    <t xml:space="preserve">DGCF2602SIE068</t>
  </si>
  <si>
    <t xml:space="preserve">BUREAUTIQUE FOTSO DISTRIBUTION</t>
  </si>
  <si>
    <t xml:space="preserve">DGCF2602SIE069</t>
  </si>
  <si>
    <t xml:space="preserve">SONECOMX</t>
  </si>
  <si>
    <t xml:space="preserve">ACHAT 05 CLIM CHANTIER CCA BUEA</t>
  </si>
  <si>
    <t xml:space="preserve">DGCF2602SIE072</t>
  </si>
  <si>
    <t xml:space="preserve">ARMOIRE BASSE DE RANGEMENT</t>
  </si>
  <si>
    <t xml:space="preserve">DGCF2602SIE071</t>
  </si>
  <si>
    <t xml:space="preserve">TABLE BASSE 401</t>
  </si>
  <si>
    <t xml:space="preserve">DGCF2602SIE070</t>
  </si>
  <si>
    <t xml:space="preserve">FOSHAN YOU YOU FURNITURE CO</t>
  </si>
  <si>
    <t xml:space="preserve">210 chairs reste déjà tout payé.Ils demandent ici le paiement du solde et que le transport des marchandises soit effectué immédiatement car ils partiront bientôt en vacances en Chine.</t>
  </si>
  <si>
    <t xml:space="preserve">SHENZHEN HCC TECHNOLOGY CO.LTD</t>
  </si>
  <si>
    <t xml:space="preserve">Imprimante olivatti 220v</t>
  </si>
  <si>
    <t xml:space="preserve">XC251020</t>
  </si>
  <si>
    <t xml:space="preserve">100 Iimprimante olivatti commande. Montant en dollar. Ils demandent ici le paiement du solde et que le transport des marchandises soit effectué immédiatement car ils partiront bientôt en vacances en Chine.</t>
  </si>
  <si>
    <t xml:space="preserve">WENZHOU NUMEN ELECTRONIC TECHNOLOGY CO., LTD</t>
  </si>
  <si>
    <t xml:space="preserve">COMPTEUSE NUMEN ( 150 PIECES)</t>
  </si>
  <si>
    <t xml:space="preserve">NUM30042510020</t>
  </si>
  <si>
    <t xml:space="preserve">30 Pieces déjà livrai reste 120 pieces. Ils demandent ici le paiement du solde et que le transport des marchandises soit effectué immédiatement car ils partiront bientôt en vacances en Chine.</t>
  </si>
  <si>
    <t xml:space="preserve">FOSHAN JUNJING INDUSTRIAL CO.,LTD</t>
  </si>
  <si>
    <t xml:space="preserve">OFFICE CHAIRS AND OFFICE TABLES</t>
  </si>
  <si>
    <t xml:space="preserve">ZC240615</t>
  </si>
  <si>
    <t xml:space="preserve">Cette commande a été signée par M. Simon et un acompte a été versé. Plus de deux ans se sont écoulés, ce qui est très long. On m'a dit que M. René suivait le paiement et que M. Simon avait assuré au fournisseur que le solde serait réglé par M. René lors de son séjour en Chine.</t>
  </si>
  <si>
    <t xml:space="preserve">ZC250919</t>
  </si>
  <si>
    <t xml:space="preserve">MOUMEGNI BERTRAND</t>
  </si>
  <si>
    <t xml:space="preserve">PETIT MATERIEL SERVICE FROID</t>
  </si>
  <si>
    <t xml:space="preserve">DGCF2603SIE202</t>
  </si>
  <si>
    <t xml:space="preserve">AFRILUX </t>
  </si>
  <si>
    <t xml:space="preserve">FOSHAN SIZHIQIAO FURNITURE CO., LTD</t>
  </si>
  <si>
    <t xml:space="preserve">OFFICE CHAIRS </t>
  </si>
  <si>
    <t xml:space="preserve">YY20240820</t>
  </si>
  <si>
    <t xml:space="preserve">FABRICATION DES BONS DE CARBURANT ET ACHAT</t>
  </si>
  <si>
    <t xml:space="preserve">BC035ACH0203</t>
  </si>
  <si>
    <t xml:space="preserve">KELIO</t>
  </si>
  <si>
    <t xml:space="preserve">Renouvellement contrat SAAS de Boisson du Cameroun </t>
  </si>
  <si>
    <t xml:space="preserve">HQCF2512DGC229</t>
  </si>
  <si>
    <t xml:space="preserve">ACHAT MATERIEL SUPPLEMENTAIRE</t>
  </si>
  <si>
    <t xml:space="preserve">HQCF2603DGC089</t>
  </si>
  <si>
    <t xml:space="preserve">FOSHAN SHUNDE KONG CHINE</t>
  </si>
  <si>
    <t xml:space="preserve">4 133 200,00</t>
  </si>
  <si>
    <t xml:space="preserve">FABRICATION DES TEE-SHIRTS</t>
  </si>
  <si>
    <t xml:space="preserve">BC035ACH0302</t>
  </si>
  <si>
    <t xml:space="preserve">GRG BANKING EQUIPMENT (HK) CO.,LIMITED</t>
  </si>
  <si>
    <t xml:space="preserve">32 352 066,00</t>
  </si>
  <si>
    <t xml:space="preserve">MOUMI</t>
  </si>
  <si>
    <t xml:space="preserve">ACHAT GRAVEUR DVD</t>
  </si>
  <si>
    <t xml:space="preserve">DGCF2603SIE197</t>
  </si>
  <si>
    <t xml:space="preserve">HK NEW WAY SERVICES (CHINE)</t>
  </si>
  <si>
    <t xml:space="preserve">-202 000,00</t>
  </si>
  <si>
    <t xml:space="preserve">MYRIAM</t>
  </si>
  <si>
    <t xml:space="preserve">RENOUVELLEMENT DES LICENCES</t>
  </si>
  <si>
    <t xml:space="preserve">DGCF2603SIE198</t>
  </si>
  <si>
    <t xml:space="preserve">QINGDAO (AUCMA)</t>
  </si>
  <si>
    <t xml:space="preserve">-6 104 855,00</t>
  </si>
  <si>
    <t xml:space="preserve">SHENZHEN HCC TECHNOLOGY CO. CHINE</t>
  </si>
  <si>
    <t xml:space="preserve">12 228 043,00</t>
  </si>
  <si>
    <t xml:space="preserve">WENZHOU KINGYI TRADING CO. CHINE</t>
  </si>
  <si>
    <t xml:space="preserve">31 390 800,00</t>
  </si>
  <si>
    <t xml:space="preserve">ADN FRANCE</t>
  </si>
  <si>
    <t xml:space="preserve">ATAL-LINE SARL( AFRICA TRANSIT AND LOGISTIC SARL)</t>
  </si>
  <si>
    <t xml:space="preserve">3 350 755,10</t>
  </si>
  <si>
    <t xml:space="preserve">ATANGANA LOGIS</t>
  </si>
  <si>
    <t xml:space="preserve">3 331 725,00</t>
  </si>
  <si>
    <t xml:space="preserve">CAROL BURO</t>
  </si>
  <si>
    <t xml:space="preserve">3 935,97</t>
  </si>
  <si>
    <t xml:space="preserve">DEVEA</t>
  </si>
  <si>
    <t xml:space="preserve">20 109 921,07</t>
  </si>
  <si>
    <t xml:space="preserve">EVERBRIGHT SECURE-TECH CO., LIMITED</t>
  </si>
  <si>
    <t xml:space="preserve">-1 138 320,00</t>
  </si>
  <si>
    <t xml:space="preserve">GENIWATT</t>
  </si>
  <si>
    <t xml:space="preserve">65 886 882,00</t>
  </si>
  <si>
    <t xml:space="preserve">MC3 LOGISTIQUE</t>
  </si>
  <si>
    <t xml:space="preserve">-17 986 341,19</t>
  </si>
  <si>
    <t xml:space="preserve">SOCIMED</t>
  </si>
  <si>
    <t xml:space="preserve">DGCF2512SIE750</t>
  </si>
  <si>
    <t xml:space="preserve">TALENTS CONSULTING</t>
  </si>
  <si>
    <t xml:space="preserve">-1 164 784,94</t>
  </si>
  <si>
    <t xml:space="preserve">CHUBBSAFES</t>
  </si>
  <si>
    <t xml:space="preserve">121 381 303,00</t>
  </si>
  <si>
    <t xml:space="preserve">CONIC GENERAL TRADING LLC</t>
  </si>
  <si>
    <t xml:space="preserve">1 264 000,00</t>
  </si>
  <si>
    <t xml:space="preserve">NGUEYA</t>
  </si>
  <si>
    <t xml:space="preserve">JPK BUSINESS</t>
  </si>
  <si>
    <t xml:space="preserve">PAPETERIE</t>
  </si>
  <si>
    <t xml:space="preserve">DGCF2602SIE073</t>
  </si>
  <si>
    <t xml:space="preserve">ACCES CONTRAL DEVICE</t>
  </si>
  <si>
    <t xml:space="preserve">HQCF2602DGC042</t>
  </si>
  <si>
    <t xml:space="preserve">KELIO ONE SOFTWARE ET EMPLOYEE CAPACITY 250/Renouvellement contrat SAAS de Boisson du Cameroun </t>
  </si>
  <si>
    <t xml:space="preserve">HQCF260DGC043</t>
  </si>
  <si>
    <t xml:space="preserve">MOUMIYANNICK</t>
  </si>
  <si>
    <t xml:space="preserve">FAUTEUILS SECRETAIRE ET FAUTEUIL DE BUREAU</t>
  </si>
  <si>
    <t xml:space="preserve">DGCF2602SIE078</t>
  </si>
  <si>
    <t xml:space="preserve">FRANCIS ABANDA</t>
  </si>
  <si>
    <t xml:space="preserve">ENSEMBLE JOGGING ADIDAS</t>
  </si>
  <si>
    <t xml:space="preserve">BC022ACH0402</t>
  </si>
  <si>
    <t xml:space="preserve">K &amp; K WOOD MASTER SARL</t>
  </si>
  <si>
    <t xml:space="preserve">ARMOIRE DE RANGEMENT ET RETOUR DE BUREAU EN PANNEAUX</t>
  </si>
  <si>
    <t xml:space="preserve">DGCF2602SIE077</t>
  </si>
  <si>
    <t xml:space="preserve">ETS SAMMA</t>
  </si>
  <si>
    <t xml:space="preserve">MAINTENANCE DE VOITURE</t>
  </si>
  <si>
    <t xml:space="preserve">BC018ACH0402</t>
  </si>
  <si>
    <t xml:space="preserve">BC020ACH0402</t>
  </si>
  <si>
    <t xml:space="preserve">BC019ACH0402</t>
  </si>
  <si>
    <t xml:space="preserve">BRIDGE TECHNOLOGIES</t>
  </si>
  <si>
    <t xml:space="preserve">MISE EN SERVICE D'UNE SOLUTION DES TELEPHONES</t>
  </si>
  <si>
    <t xml:space="preserve">BC017ACH0202</t>
  </si>
  <si>
    <t xml:space="preserve">MTA</t>
  </si>
  <si>
    <t xml:space="preserve">EXPEDITION DES IMPRIMANTE MATRICIELLE</t>
  </si>
  <si>
    <t xml:space="preserve">BC024ACH0602</t>
  </si>
  <si>
    <t xml:space="preserve">ACHAT DES PAPETERIE</t>
  </si>
  <si>
    <t xml:space="preserve">DGCF2602SIE088</t>
  </si>
  <si>
    <t xml:space="preserve">PETIT MATERIEL SERVICE FROID INSTALLATION CLIM CCA BANK GAROUA</t>
  </si>
  <si>
    <t xml:space="preserve">DGCF2602SIE092</t>
  </si>
  <si>
    <t xml:space="preserve">DGCF2602SIE084</t>
  </si>
  <si>
    <t xml:space="preserve">SPLIT ARMOIRE HISENSE 48000BTU</t>
  </si>
  <si>
    <t xml:space="preserve">DGCF2602SIE089</t>
  </si>
  <si>
    <t xml:space="preserve">ACHAT SYSTEME CONTROLE ACCES ET MODULE BORNE POUR CCA BANK</t>
  </si>
  <si>
    <t xml:space="preserve">HQCF2602DGC046</t>
  </si>
  <si>
    <t xml:space="preserve">ACHAT DES MACHINES PROBOOK</t>
  </si>
  <si>
    <t xml:space="preserve">DGCF2602SIE086</t>
  </si>
  <si>
    <t xml:space="preserve">ACHAT DE 16 FAUTEUILS</t>
  </si>
  <si>
    <t xml:space="preserve">DGCF2602SIE083</t>
  </si>
  <si>
    <t xml:space="preserve">ACHAT DE 20 SOURIS SANS FIL LENOVO L150</t>
  </si>
  <si>
    <t xml:space="preserve">DGCF2602SIE082</t>
  </si>
  <si>
    <t xml:space="preserve">BERTRAND MOUMENI</t>
  </si>
  <si>
    <t xml:space="preserve">MATERIEL SERVICE FROID POUR LE 1ER TRIMESTRE</t>
  </si>
  <si>
    <t xml:space="preserve">DGCF2602SIE074</t>
  </si>
  <si>
    <t xml:space="preserve">DGCF2602SIE075</t>
  </si>
  <si>
    <t xml:space="preserve">PAPETERIE ACHILE SARL</t>
  </si>
  <si>
    <t xml:space="preserve">RAME DE PAPIER A4 DOUBLE A</t>
  </si>
  <si>
    <t xml:space="preserve">DGCF2602SIE076</t>
  </si>
  <si>
    <t xml:space="preserve">MBELEG ROGER</t>
  </si>
  <si>
    <t xml:space="preserve">Finance &amp; Comptabilité</t>
  </si>
  <si>
    <t xml:space="preserve">BRAIN CONSULTING LIMITED</t>
  </si>
  <si>
    <t xml:space="preserve">SEMINAIRE FORMATION SUR LES NOUVELLES</t>
  </si>
  <si>
    <t xml:space="preserve">BC021ACH0402</t>
  </si>
  <si>
    <t xml:space="preserve">PULCHERIE</t>
  </si>
  <si>
    <t xml:space="preserve">02 STATION DE TRAVAIL</t>
  </si>
  <si>
    <t xml:space="preserve">DGCF2602SIE090</t>
  </si>
  <si>
    <t xml:space="preserve">WISE COMPUTER</t>
  </si>
  <si>
    <t xml:space="preserve">01 PORTATIF ELITEBOOK 840</t>
  </si>
  <si>
    <t xml:space="preserve">DGCF2602SIE091</t>
  </si>
  <si>
    <t xml:space="preserve">IT</t>
  </si>
  <si>
    <t xml:space="preserve">03 BLOC COMPLET PHOTORECEPTOR</t>
  </si>
  <si>
    <t xml:space="preserve">BC023ACH0502</t>
  </si>
  <si>
    <t xml:space="preserve">FABRICE DJAMPOU</t>
  </si>
  <si>
    <t xml:space="preserve">ACHAT DES CLIMATISSEURS</t>
  </si>
  <si>
    <t xml:space="preserve">DGCF2602SIE093</t>
  </si>
  <si>
    <t xml:space="preserve">DGCF2602SIE094</t>
  </si>
  <si>
    <t xml:space="preserve">GROUPE EMMA SARL</t>
  </si>
  <si>
    <t xml:space="preserve">ACHAT DES TELEVISEURS</t>
  </si>
  <si>
    <t xml:space="preserve">DGCF2602SIE096</t>
  </si>
  <si>
    <t xml:space="preserve">ACHAT TELEVISEUR ET SUPPORT TELE</t>
  </si>
  <si>
    <t xml:space="preserve">HQCF2602YDE012</t>
  </si>
  <si>
    <t xml:space="preserve">FOURNISEUR DIVERS (PAPOU FRANCIS)</t>
  </si>
  <si>
    <t xml:space="preserve">CABLE ET GOULOTTE</t>
  </si>
  <si>
    <t xml:space="preserve">HQCF2602GAR001</t>
  </si>
  <si>
    <t xml:space="preserve">ALAIN SHUTANG</t>
  </si>
  <si>
    <t xml:space="preserve">Achat</t>
  </si>
  <si>
    <t xml:space="preserve">TRANSPORT COMPTEUSE USINE (WENZHOU) JUSQU' </t>
  </si>
  <si>
    <t xml:space="preserve">BC025ACH0702</t>
  </si>
  <si>
    <t xml:space="preserve">YEMELE EUGENE</t>
  </si>
  <si>
    <t xml:space="preserve">ENLEVEMENT ET ACHEMENIMENEMENT COLIS TELTONIKA</t>
  </si>
  <si>
    <t xml:space="preserve">BC007ACH1601</t>
  </si>
  <si>
    <t xml:space="preserve">ACHAT DES MACHINES OMEN</t>
  </si>
  <si>
    <t xml:space="preserve">DGCF2602SIE079</t>
  </si>
  <si>
    <t xml:space="preserve">ACHAT DES CABLES, MORPIONS, PIQUET DE TERRE ET BARETTE</t>
  </si>
  <si>
    <t xml:space="preserve">HQCF2603DGC088</t>
  </si>
  <si>
    <t xml:space="preserve">ACHAT DES GAINES</t>
  </si>
  <si>
    <t xml:space="preserve">HQCF2603DGC087</t>
  </si>
  <si>
    <t xml:space="preserve">ACHAT PORTATIF</t>
  </si>
  <si>
    <t xml:space="preserve">DGCF2603SIE208</t>
  </si>
  <si>
    <t xml:space="preserve">ACHAT DES TABLES ET CHAISES DE BUREAU</t>
  </si>
  <si>
    <t xml:space="preserve">DGCF2602SIE189</t>
  </si>
  <si>
    <t xml:space="preserve">ACHAT DES CHAISES VISITEURS</t>
  </si>
  <si>
    <t xml:space="preserve">DGCF2602SIE190</t>
  </si>
  <si>
    <t xml:space="preserve">ACHAT DE 04 ARMOIRE METALLIQUE</t>
  </si>
  <si>
    <t xml:space="preserve">DGCF2603SIE206</t>
  </si>
  <si>
    <t xml:space="preserve">NOBLE</t>
  </si>
  <si>
    <t xml:space="preserve">ACHAT FRIGO ET AUTRE</t>
  </si>
  <si>
    <t xml:space="preserve">DGCF2602SIE188</t>
  </si>
  <si>
    <t xml:space="preserve">ACHAT ELECTROMENAGER</t>
  </si>
  <si>
    <t xml:space="preserve">DGCF2602SIE193</t>
  </si>
  <si>
    <t xml:space="preserve">FRANCOIS SIMO</t>
  </si>
  <si>
    <t xml:space="preserve">CFAO MOBILITY</t>
  </si>
  <si>
    <t xml:space="preserve">VIDANGE SUZIKI GLX 2WD 1586P ATSLDA</t>
  </si>
  <si>
    <t xml:space="preserve">BC037ACH0403</t>
  </si>
  <si>
    <t xml:space="preserve">NIKITA</t>
  </si>
  <si>
    <t xml:space="preserve">Marchandise</t>
  </si>
  <si>
    <t xml:space="preserve">CHAISE VISITEUR</t>
  </si>
  <si>
    <t xml:space="preserve">Conditionnement</t>
  </si>
  <si>
    <t xml:space="preserve">Carton</t>
  </si>
  <si>
    <t xml:space="preserve">Devise</t>
  </si>
  <si>
    <t xml:space="preserve">Taux</t>
  </si>
  <si>
    <t xml:space="preserve">Origine</t>
  </si>
  <si>
    <t xml:space="preserve">Chine</t>
  </si>
  <si>
    <t xml:space="preserve">Poids conteneur (kg)</t>
  </si>
  <si>
    <t xml:space="preserve">USD</t>
  </si>
  <si>
    <t xml:space="preserve">Vendeur</t>
  </si>
  <si>
    <t xml:space="preserve">WENZHOU KINGYI LTD</t>
  </si>
  <si>
    <t xml:space="preserve">Nr. Boîte/sac/pièce</t>
  </si>
  <si>
    <t xml:space="preserve">XAF</t>
  </si>
  <si>
    <t xml:space="preserve">Quantité</t>
  </si>
  <si>
    <t xml:space="preserve">Départ</t>
  </si>
  <si>
    <t xml:space="preserve">WENZHOU</t>
  </si>
  <si>
    <t xml:space="preserve">Arrivé</t>
  </si>
  <si>
    <t xml:space="preserve">Yaoundé</t>
  </si>
  <si>
    <t xml:space="preserve">Incoterm</t>
  </si>
  <si>
    <t xml:space="preserve">EXW</t>
  </si>
  <si>
    <t xml:space="preserve">Valeur DEVISE</t>
  </si>
  <si>
    <t xml:space="preserve">Mode</t>
  </si>
  <si>
    <t xml:space="preserve">Air</t>
  </si>
  <si>
    <t xml:space="preserve">Valeur XAF</t>
  </si>
  <si>
    <t xml:space="preserve">Reception</t>
  </si>
  <si>
    <t xml:space="preserve">Date</t>
  </si>
  <si>
    <t xml:space="preserve">Livreur</t>
  </si>
  <si>
    <t xml:space="preserve">Déchargement</t>
  </si>
  <si>
    <t xml:space="preserve">LOI</t>
  </si>
  <si>
    <t xml:space="preserve">QTE (T)</t>
  </si>
  <si>
    <t xml:space="preserve">QTE(pieces)</t>
  </si>
  <si>
    <t xml:space="preserve">TOTAL</t>
  </si>
  <si>
    <t xml:space="preserve">Total</t>
  </si>
  <si>
    <t xml:space="preserve">RESTE</t>
  </si>
  <si>
    <t xml:space="preserve">ETAT TRANSFERTS/REGLEMENT</t>
  </si>
  <si>
    <t xml:space="preserve">FOURNISSEURS</t>
  </si>
  <si>
    <t xml:space="preserve">ENTITE</t>
  </si>
  <si>
    <t xml:space="preserve">BANQUE/PAYEUR</t>
  </si>
  <si>
    <t xml:space="preserve">MARCHANDISES</t>
  </si>
  <si>
    <t xml:space="preserve">MONTANT (USD)</t>
  </si>
  <si>
    <t xml:space="preserve">POSSIBILITE RECEPTION</t>
  </si>
  <si>
    <t xml:space="preserve">OBSERVATIONS</t>
  </si>
  <si>
    <t xml:space="preserve">YOUYOU</t>
  </si>
  <si>
    <t xml:space="preserve">QTE(sacs)</t>
  </si>
  <si>
    <t xml:space="preserve">Attente mise à disposition devise </t>
  </si>
  <si>
    <t xml:space="preserve">ACCORD (Relache)</t>
  </si>
  <si>
    <t xml:space="preserve">RECOMANDATION FRN / METIER</t>
  </si>
  <si>
    <t xml:space="preserve">#Nr</t>
  </si>
  <si>
    <t xml:space="preserve">Nom ou Raison sociale</t>
  </si>
  <si>
    <t xml:space="preserve">Statut juridique</t>
  </si>
  <si>
    <t xml:space="preserve">Pays</t>
  </si>
  <si>
    <t xml:space="preserve">Ville (siège)</t>
  </si>
  <si>
    <t xml:space="preserve">Dirigeant/Commercial</t>
  </si>
  <si>
    <t xml:space="preserve">Téléphone 1</t>
  </si>
  <si>
    <t xml:space="preserve">Téléphone 2</t>
  </si>
  <si>
    <t xml:space="preserve">E-mail 1</t>
  </si>
  <si>
    <t xml:space="preserve">E-mail 2</t>
  </si>
  <si>
    <t xml:space="preserve">Produit 1</t>
  </si>
  <si>
    <t xml:space="preserve">Produit 2</t>
  </si>
  <si>
    <t xml:space="preserve">Produit 3</t>
  </si>
  <si>
    <t xml:space="preserve">Catégorie/Famille</t>
  </si>
  <si>
    <t xml:space="preserve">Statut FRN</t>
  </si>
  <si>
    <t xml:space="preserve">I C E</t>
  </si>
  <si>
    <t xml:space="preserve">Cameroun</t>
  </si>
  <si>
    <t xml:space="preserve">DLA-AKWA</t>
  </si>
  <si>
    <t xml:space="preserve">Jocelyne</t>
  </si>
  <si>
    <t xml:space="preserve">pendajoselyne@steice.com</t>
  </si>
  <si>
    <t xml:space="preserve">AMEUBLEMENT</t>
  </si>
  <si>
    <t xml:space="preserve">SANITAIRES</t>
  </si>
  <si>
    <t xml:space="preserve">GROS ET PETIT ELECTROMENAGER</t>
  </si>
  <si>
    <t xml:space="preserve">DEE-LITE</t>
  </si>
  <si>
    <t xml:space="preserve">DLA AKWA</t>
  </si>
  <si>
    <t xml:space="preserve">Kumar</t>
  </si>
  <si>
    <t xml:space="preserve">n.kumar@deeliteglobal.com</t>
  </si>
  <si>
    <t xml:space="preserve">HIFI / TV</t>
  </si>
  <si>
    <t xml:space="preserve">VAISSELLE</t>
  </si>
  <si>
    <t xml:space="preserve">KARTHICK</t>
  </si>
  <si>
    <t xml:space="preserve">Samy</t>
  </si>
  <si>
    <t xml:space="preserve">ktkinternal@gmail.com</t>
  </si>
  <si>
    <t xml:space="preserve">TV</t>
  </si>
  <si>
    <t xml:space="preserve">DLA-AEROPORT</t>
  </si>
  <si>
    <t xml:space="preserve">Osman</t>
  </si>
  <si>
    <t xml:space="preserve">osman.bader@orca-cam.com</t>
  </si>
  <si>
    <t xml:space="preserve">PETIT ELECTROMENAGER</t>
  </si>
  <si>
    <t xml:space="preserve">2 K P </t>
  </si>
  <si>
    <t xml:space="preserve">DLA-MBOPPI</t>
  </si>
  <si>
    <t xml:space="preserve">ets2kp@gmail.com</t>
  </si>
  <si>
    <t xml:space="preserve">INFORMATIQUE</t>
  </si>
  <si>
    <t xml:space="preserve">BUREAUTIQUE</t>
  </si>
  <si>
    <t xml:space="preserve">SODEFI SARL</t>
  </si>
  <si>
    <t xml:space="preserve">sodefisarl@yahoo.com</t>
  </si>
  <si>
    <t xml:space="preserve">J P K</t>
  </si>
  <si>
    <t xml:space="preserve">motoange@yahoo.fr</t>
  </si>
  <si>
    <t xml:space="preserve">C I S</t>
  </si>
  <si>
    <t xml:space="preserve">tyfanie.nlend@ciscameroun.com</t>
  </si>
  <si>
    <t xml:space="preserve">COURANT FORT</t>
  </si>
  <si>
    <t xml:space="preserve">COURANT FAIBLE</t>
  </si>
  <si>
    <t xml:space="preserve">NEW TECH</t>
  </si>
  <si>
    <t xml:space="preserve">daridjiokeng0008@gmail.com</t>
  </si>
  <si>
    <t xml:space="preserve">SYSTÈME DE SECURITE</t>
  </si>
  <si>
    <t xml:space="preserve">D 2 S</t>
  </si>
  <si>
    <t xml:space="preserve">dssarl93@gmail.com</t>
  </si>
  <si>
    <t xml:space="preserve">MITELEC</t>
  </si>
  <si>
    <t xml:space="preserve">ETS</t>
  </si>
  <si>
    <t xml:space="preserve">mitelecets@gmail.com</t>
  </si>
  <si>
    <t xml:space="preserve">INFORMARMATIQUE</t>
  </si>
  <si>
    <t xml:space="preserve">LIGHT CONNEXION</t>
  </si>
  <si>
    <t xml:space="preserve">kewobeaudelair@gmail.com</t>
  </si>
  <si>
    <t xml:space="preserve">MEWE</t>
  </si>
  <si>
    <t xml:space="preserve">tonyzhao@linkwayco.com</t>
  </si>
  <si>
    <t xml:space="preserve">MAIMO FOURNITURE</t>
  </si>
  <si>
    <t xml:space="preserve">DLA-BONABERI</t>
  </si>
  <si>
    <t xml:space="preserve">237maimo@gmail.com</t>
  </si>
  <si>
    <t xml:space="preserve">FABRIQUANT MOBILIER DE BUREAU</t>
  </si>
  <si>
    <t xml:space="preserve">FABRIQUANT MOBILIER DE MAISON</t>
  </si>
  <si>
    <t xml:space="preserve">USINE DE FABRICATION</t>
  </si>
  <si>
    <t xml:space="preserve">France</t>
  </si>
  <si>
    <t xml:space="preserve">UK</t>
  </si>
  <si>
    <t xml:space="preserve">FORMAREC CONSULTING</t>
  </si>
  <si>
    <t xml:space="preserve">HM TELECOM France</t>
  </si>
  <si>
    <t xml:space="preserve">JTC INTERNATIONAL DUBAI</t>
  </si>
  <si>
    <t xml:space="preserve">Dubai</t>
  </si>
  <si>
    <t xml:space="preserve">NDC PRO WCA</t>
  </si>
  <si>
    <t xml:space="preserve">SODIMED</t>
  </si>
  <si>
    <t xml:space="preserve">TECHNOGYM</t>
  </si>
  <si>
    <t xml:space="preserve">Indonesie</t>
  </si>
  <si>
    <t xml:space="preserve">Fournisseur DUBAI</t>
  </si>
  <si>
    <t xml:space="preserve">ZAIBA BUBAI</t>
  </si>
  <si>
    <t xml:space="preserve">ASVS SARLAU</t>
  </si>
  <si>
    <t xml:space="preserve">BODET TIME &amp; SPORT </t>
  </si>
  <si>
    <t xml:space="preserve">CAMI TOYOTA</t>
  </si>
  <si>
    <t xml:space="preserve">CHINCOTRAC GMBH</t>
  </si>
  <si>
    <t xml:space="preserve">CVCI LEGRAND</t>
  </si>
  <si>
    <t xml:space="preserve">DAHUA TECHNOLOGIES</t>
  </si>
  <si>
    <t xml:space="preserve">ENERGY AND POWER</t>
  </si>
  <si>
    <t xml:space="preserve">ESSO SARL</t>
  </si>
  <si>
    <t xml:space="preserve">EVERBRIGHT SECURE TECH</t>
  </si>
  <si>
    <t xml:space="preserve">EVOLIS PARTNERS</t>
  </si>
  <si>
    <t xml:space="preserve">GARAGE CETASO</t>
  </si>
  <si>
    <t xml:space="preserve">GLOBAL SOFT&amp;COMMUNICATION</t>
  </si>
  <si>
    <t xml:space="preserve">HANGZHOU YUANXING INTERNATIONAL TRADE CO LTD</t>
  </si>
  <si>
    <t xml:space="preserve">HUNKAKABLO </t>
  </si>
  <si>
    <t xml:space="preserve">INNOV MULTI SERVICES</t>
  </si>
  <si>
    <t xml:space="preserve">KELIO SAS</t>
  </si>
  <si>
    <t xml:space="preserve">MERVEILLE SARL</t>
  </si>
  <si>
    <t xml:space="preserve">MICROSET</t>
  </si>
  <si>
    <t xml:space="preserve">MPLOGIC</t>
  </si>
  <si>
    <t xml:space="preserve">NAFFCO</t>
  </si>
  <si>
    <t xml:space="preserve">NEWTECH AFRIK</t>
  </si>
  <si>
    <t xml:space="preserve">NEXKIT SARL</t>
  </si>
  <si>
    <t xml:space="preserve">PYRONIX HIKVISION </t>
  </si>
  <si>
    <t xml:space="preserve">SMART SECURITY SENEGAL </t>
  </si>
  <si>
    <t xml:space="preserve">SOGEDEX</t>
  </si>
  <si>
    <t xml:space="preserve">SOLUSTOP</t>
  </si>
  <si>
    <t xml:space="preserve">SYSTEMES &amp; APPLICATION ELECTRONIQUES (SAE)</t>
  </si>
  <si>
    <t xml:space="preserve">TELTONIKA</t>
  </si>
  <si>
    <t xml:space="preserve">VATAN KABLO METAL </t>
  </si>
  <si>
    <t xml:space="preserve">WESTERN TECHNOLOGY</t>
  </si>
  <si>
    <t xml:space="preserve">ZK TECO LTD</t>
  </si>
  <si>
    <t xml:space="preserve">DUBAI TECHWORLD FZCO</t>
  </si>
  <si>
    <t xml:space="preserve">United Arab Emirates</t>
  </si>
  <si>
    <t xml:space="preserve">DUBAI</t>
  </si>
  <si>
    <t xml:space="preserve">SMOOTH COMPUTERS L.L.C</t>
  </si>
  <si>
    <t xml:space="preserve">GPCD GROUP OF COMPANIES</t>
  </si>
  <si>
    <t xml:space="preserve">ATTM GENERAL TRADING LLC</t>
  </si>
  <si>
    <t xml:space="preserve">Po. Box 90196 </t>
  </si>
  <si>
    <t xml:space="preserve">04 2352043</t>
  </si>
  <si>
    <t xml:space="preserve">GEEPAS WESTERN INTERNATIONAL LCC</t>
  </si>
  <si>
    <t xml:space="preserve">Gwanzhou</t>
  </si>
  <si>
    <t xml:space="preserve">9717-2266831</t>
  </si>
  <si>
    <t xml:space="preserve">9714-2251614</t>
  </si>
  <si>
    <t xml:space="preserve">TELIONIX</t>
  </si>
  <si>
    <t xml:space="preserve">gwanzhou</t>
  </si>
  <si>
    <t xml:space="preserve">FOURNISSEURS DUBAI</t>
  </si>
  <si>
    <t xml:space="preserve">FOSHAN JUNJING INDUSTRIAL</t>
  </si>
  <si>
    <t xml:space="preserve">FOSHAN CITY</t>
  </si>
  <si>
    <t xml:space="preserve">Cameroon</t>
  </si>
  <si>
    <t xml:space="preserve">FRANCE</t>
  </si>
  <si>
    <t xml:space="preserve">GAT WAY</t>
  </si>
  <si>
    <t xml:space="preserve">.Asif Pasha</t>
  </si>
  <si>
    <t xml:space="preserve">+971551319018</t>
  </si>
  <si>
    <t xml:space="preserve">Nantes</t>
  </si>
  <si>
    <t xml:space="preserve">0251191313</t>
  </si>
  <si>
    <t xml:space="preserve">Paris</t>
  </si>
  <si>
    <t xml:space="preserve">01 80 87 57 41</t>
  </si>
  <si>
    <t xml:space="preserve">01 80 87 57 40</t>
  </si>
  <si>
    <t xml:space="preserve">DJEUMATRANS SARL</t>
  </si>
  <si>
    <t xml:space="preserve">Douala</t>
  </si>
  <si>
    <t xml:space="preserve">INDONESIE</t>
  </si>
  <si>
    <t xml:space="preserve">KOUENDJEU BENJAMIN</t>
  </si>
  <si>
    <t xml:space="preserve">GENERAL LECLERC</t>
  </si>
  <si>
    <t xml:space="preserve">Senegal</t>
  </si>
  <si>
    <t xml:space="preserve">DAKAR</t>
  </si>
  <si>
    <t xml:space="preserve">+221338643818</t>
  </si>
  <si>
    <t xml:space="preserve">+86-20-82189024</t>
  </si>
  <si>
    <t xml:space="preserve">862082188909</t>
  </si>
  <si>
    <t xml:space="preserve">SHENZHEN</t>
  </si>
  <si>
    <t xml:space="preserve">A.P.K.R NETWORKING ZONE L.L.C</t>
  </si>
  <si>
    <t xml:space="preserve">SOCIMED SARL</t>
  </si>
  <si>
    <t xml:space="preserve">chaussee</t>
  </si>
  <si>
    <t xml:space="preserve">Guinea</t>
  </si>
  <si>
    <t xml:space="preserve">MARIAMA DIOP</t>
  </si>
  <si>
    <t xml:space="preserve">DINESH TRANDING FZC DUBAI</t>
  </si>
  <si>
    <t xml:space="preserve">ELBA</t>
  </si>
  <si>
    <t xml:space="preserve">IRCA</t>
  </si>
  <si>
    <t xml:space="preserve">BUSINESS MACHINE AND SOLUTION BMS</t>
  </si>
  <si>
    <t xml:space="preserve">JEF TRADING</t>
  </si>
  <si>
    <t xml:space="preserve">KLASS DIS TICARET LTD</t>
  </si>
  <si>
    <t xml:space="preserve">352 0321 018 43</t>
  </si>
  <si>
    <t xml:space="preserve">HDF</t>
  </si>
  <si>
    <t xml:space="preserve">FRET TRANSCOMI / NORMES EUROPEENNES</t>
  </si>
  <si>
    <t xml:space="preserve">06 08 93 24 27</t>
  </si>
  <si>
    <t xml:space="preserve">SOUTHCOMP-POLARIS S.A</t>
  </si>
  <si>
    <t xml:space="preserve">04 74 40 79 95</t>
  </si>
  <si>
    <t xml:space="preserve">EXCLUSIVE NETWORKS</t>
  </si>
  <si>
    <t xml:space="preserve">+33 (0)1 41 31 53 04</t>
  </si>
  <si>
    <t xml:space="preserve">NEO DATA TECHNOLOGIES</t>
  </si>
  <si>
    <t xml:space="preserve">+971 4 2636639</t>
  </si>
  <si>
    <t xml:space="preserve">FOURNISSEURS TURQUIE</t>
  </si>
  <si>
    <t xml:space="preserve">BDE APRES IMPRESSION</t>
  </si>
  <si>
    <t xml:space="preserve">TIGER DUBAI</t>
  </si>
  <si>
    <t xml:space="preserve">FOSHAN YOUYOU FURNITURECHINE</t>
  </si>
  <si>
    <t xml:space="preserve">FOSHAN YOUYOU</t>
  </si>
  <si>
    <t xml:space="preserve">CHINE FOSHAN SHUNDER</t>
  </si>
  <si>
    <t xml:space="preserve">J. T MEDICAL SARL</t>
  </si>
  <si>
    <t xml:space="preserve">DMR TECHNOLOGIE</t>
  </si>
  <si>
    <t xml:space="preserve">CAMIS SARL</t>
  </si>
  <si>
    <t xml:space="preserve">INOVATECHS SARL</t>
  </si>
  <si>
    <t xml:space="preserve">ETS CALEB</t>
  </si>
  <si>
    <t xml:space="preserve">MICHAEL STATION ELECTRONIQUE</t>
  </si>
  <si>
    <t xml:space="preserve">SEMEM DISTRIBUTORS SARL</t>
  </si>
  <si>
    <t xml:space="preserve">SUPECO</t>
  </si>
  <si>
    <t xml:space="preserve">YAN ELECTRONICS SARL</t>
  </si>
  <si>
    <t xml:space="preserve">TALENTYS</t>
  </si>
  <si>
    <t xml:space="preserve">TALENTYS CAMEROON SARL</t>
  </si>
  <si>
    <t xml:space="preserve">ETS BUROTECH COORPORATION</t>
  </si>
  <si>
    <t xml:space="preserve">CCA BANK</t>
  </si>
  <si>
    <t xml:space="preserve">MANUELLA CENTER SARL</t>
  </si>
  <si>
    <t xml:space="preserve">MAHATEU TECHNOLOGIE SARL</t>
  </si>
  <si>
    <t xml:space="preserve">LUXAN CONSUMABLES</t>
  </si>
  <si>
    <t xml:space="preserve">ETS 3T VISION PLUS</t>
  </si>
  <si>
    <t xml:space="preserve">Garoua</t>
  </si>
  <si>
    <t xml:space="preserve">MEUZICO ECLAIRAGE</t>
  </si>
  <si>
    <t xml:space="preserve">SOREPCO S.A</t>
  </si>
  <si>
    <t xml:space="preserve">CHRIST &amp; PARTNERS SERVICES SARL (CPS)</t>
  </si>
  <si>
    <t xml:space="preserve">NOW TECHNOLOGIES CENTER SARL</t>
  </si>
  <si>
    <t xml:space="preserve">ETS GLOBAL LINK</t>
  </si>
  <si>
    <t xml:space="preserve">675 61 65 71 </t>
  </si>
  <si>
    <t xml:space="preserve">2KP INFORMATIQUE &amp; SERVICES</t>
  </si>
  <si>
    <t xml:space="preserve">ETS REGENCE-BATIS</t>
  </si>
  <si>
    <t xml:space="preserve">687 07 87 46</t>
  </si>
  <si>
    <t xml:space="preserve">ETS GRENIER DE DECOR</t>
  </si>
  <si>
    <t xml:space="preserve">HERLEY BUSINESS SARL</t>
  </si>
  <si>
    <t xml:space="preserve">SOCIETE DE DISTRIBUTION CAMEROUNAISE</t>
  </si>
  <si>
    <t xml:space="preserve">DoualA</t>
  </si>
  <si>
    <t xml:space="preserve">GROUPE WACO SARL</t>
  </si>
  <si>
    <t xml:space="preserve">YaoundE</t>
  </si>
  <si>
    <t xml:space="preserve">YAOUNDE</t>
  </si>
  <si>
    <t xml:space="preserve">GM GROUP MULTI-SERVICES</t>
  </si>
  <si>
    <t xml:space="preserve">GYPSE AFRICA SARL</t>
  </si>
  <si>
    <t xml:space="preserve">+237 670035999</t>
  </si>
  <si>
    <t xml:space="preserve">DNI-TECH SOLUTIONS</t>
  </si>
  <si>
    <t xml:space="preserve">STE DM APPROTECH SARL</t>
  </si>
  <si>
    <t xml:space="preserve">HDCOM SARL</t>
  </si>
  <si>
    <t xml:space="preserve">.BP 7517 Yaoundé - Cameroun</t>
  </si>
  <si>
    <t xml:space="preserve">+237 682 16 61 56</t>
  </si>
  <si>
    <t xml:space="preserve">+237 222 23 75 68</t>
  </si>
  <si>
    <t xml:space="preserve">ETS TICH</t>
  </si>
  <si>
    <t xml:space="preserve">CAMWATEUR</t>
  </si>
  <si>
    <t xml:space="preserve">NEWTECH SARL</t>
  </si>
  <si>
    <t xml:space="preserve">653 28 21 67</t>
  </si>
  <si>
    <t xml:space="preserve">ORDI'NET CM</t>
  </si>
  <si>
    <t xml:space="preserve">LORD'STAR TECHNOLOGY</t>
  </si>
  <si>
    <t xml:space="preserve">DOUALA</t>
  </si>
  <si>
    <t xml:space="preserve">ETS HERMINE MEUBLE</t>
  </si>
  <si>
    <t xml:space="preserve">CHIRAC</t>
  </si>
  <si>
    <t xml:space="preserve">PACHA PHONE</t>
  </si>
  <si>
    <t xml:space="preserve">ETS DATAO PRESTATIONDE SERVICES</t>
  </si>
  <si>
    <t xml:space="preserve">LEADER GENERAL BUSINESS SARL</t>
  </si>
  <si>
    <t xml:space="preserve">DJIMM</t>
  </si>
  <si>
    <t xml:space="preserve">CHINA MALL</t>
  </si>
  <si>
    <t xml:space="preserve">Douala </t>
  </si>
  <si>
    <t xml:space="preserve">MOBILE TELEPHONE NETWORKS CAMEROON LIMITED (MTN)</t>
  </si>
  <si>
    <t xml:space="preserve">LA CAMEROON TRADING COMPANY</t>
  </si>
  <si>
    <t xml:space="preserve">SODICAM SA</t>
  </si>
  <si>
    <t xml:space="preserve">DIGITAL COMPUTERS SARL</t>
  </si>
  <si>
    <t xml:space="preserve">MOBIL CITY SARL</t>
  </si>
  <si>
    <t xml:space="preserve">PENG GLOBAL HOLDING SARL</t>
  </si>
  <si>
    <t xml:space="preserve">SOCIETE KENSON MOTORS SARL</t>
  </si>
  <si>
    <t xml:space="preserve">Mbouda</t>
  </si>
  <si>
    <t xml:space="preserve">GLOBAL TELECOMMUNICATION HOUSE SA (GLOTELHO)</t>
  </si>
  <si>
    <t xml:space="preserve">BAT-ELEQ</t>
  </si>
  <si>
    <t xml:space="preserve">bat.eleq1@gmail.com</t>
  </si>
  <si>
    <t xml:space="preserve">ctmacameroun@gmail.com</t>
  </si>
  <si>
    <t xml:space="preserve">PAPETERIE NONO SARL</t>
  </si>
  <si>
    <t xml:space="preserve">ETS TECH-CENTER</t>
  </si>
  <si>
    <t xml:space="preserve">ISTRA GROUP SARL IGS</t>
  </si>
  <si>
    <t xml:space="preserve"> </t>
  </si>
  <si>
    <t xml:space="preserve">STE MAHIMA SARL</t>
  </si>
  <si>
    <t xml:space="preserve">DUALA</t>
  </si>
  <si>
    <t xml:space="preserve">ETS SHAMSA DISTRIBUTION</t>
  </si>
  <si>
    <t xml:space="preserve">AKWA</t>
  </si>
  <si>
    <t xml:space="preserve">GLOBAL SOFT &amp; COMMUNICATION SARL</t>
  </si>
  <si>
    <t xml:space="preserve">KARAYES GROUP SARL (KARAYES)</t>
  </si>
  <si>
    <t xml:space="preserve">ETS LE PROFESSEUR</t>
  </si>
  <si>
    <t xml:space="preserve">GENERAL DE COMMERCE ET MULTI-SERVICE SARL ( GECOM SARL)</t>
  </si>
  <si>
    <t xml:space="preserve">SOCIETE GENERALE DES FOURNITURES INDUSTRIELLE ( SGFI SARL)</t>
  </si>
  <si>
    <t xml:space="preserve">NOUTCHOUMWA TCHOUANYOU KEVIN ( NTK PRODUCTION)</t>
  </si>
  <si>
    <t xml:space="preserve">BERNABE CAMEROUN SA</t>
  </si>
  <si>
    <t xml:space="preserve">INGOSEN CORPORATION LTD</t>
  </si>
  <si>
    <t xml:space="preserve">ETS ENERGY AND POWER SOLUTIONS</t>
  </si>
  <si>
    <t xml:space="preserve">MTLY SUPPLY &amp; SERVICES</t>
  </si>
  <si>
    <t xml:space="preserve">NDZANA ISAAC SERGE ETS PRIMES</t>
  </si>
  <si>
    <t xml:space="preserve">ETS FLEX ENTREPRISE</t>
  </si>
  <si>
    <t xml:space="preserve">L &amp; D REVOLUTECH SARL</t>
  </si>
  <si>
    <t xml:space="preserve">WOU EXPRESS SARL</t>
  </si>
  <si>
    <t xml:space="preserve">ETS TOUT A PETIT PRIX</t>
  </si>
  <si>
    <t xml:space="preserve">SMARTY BUSINESS &amp; SERVICES</t>
  </si>
  <si>
    <t xml:space="preserve">SODICAM S.A</t>
  </si>
  <si>
    <t xml:space="preserve">FOURNISSEUR LOCAL MOB</t>
  </si>
  <si>
    <t xml:space="preserve">693 98 52 58 </t>
  </si>
  <si>
    <t xml:space="preserve">Fournissseur Local Info</t>
  </si>
  <si>
    <t xml:space="preserve">F'SSEUR ANE ROUGE</t>
  </si>
  <si>
    <t xml:space="preserve">BONUS ELECTRONIQUE</t>
  </si>
  <si>
    <t xml:space="preserve">JAS TATALIA</t>
  </si>
  <si>
    <t xml:space="preserve">VISION CONFORT</t>
  </si>
  <si>
    <t xml:space="preserve">VIDECOM</t>
  </si>
  <si>
    <t xml:space="preserve">F'SSEUR DOUALA</t>
  </si>
  <si>
    <t xml:space="preserve">ETS MEA BOIS</t>
  </si>
  <si>
    <t xml:space="preserve">ETS JANNAT</t>
  </si>
  <si>
    <t xml:space="preserve">GROUPE ARNO</t>
  </si>
  <si>
    <t xml:space="preserve">PROMO CONSTRUCTION (F)</t>
  </si>
  <si>
    <t xml:space="preserve">Yaoundé Yaoundé</t>
  </si>
  <si>
    <t xml:space="preserve">TEDJEU PASCAL CLOVIS</t>
  </si>
  <si>
    <t xml:space="preserve">F'SSEUR LOCAL MAT INFORMATIQUE</t>
  </si>
  <si>
    <t xml:space="preserve">F'SSEUR OFFICE DLA</t>
  </si>
  <si>
    <t xml:space="preserve">IT SYSTEMS &amp; NETWORK</t>
  </si>
  <si>
    <t xml:space="preserve">222 22 11 44</t>
  </si>
  <si>
    <t xml:space="preserve">FOTUE JAUSIER</t>
  </si>
  <si>
    <t xml:space="preserve">F'SSEUR DIVERS DG OFFICE</t>
  </si>
  <si>
    <t xml:space="preserve">SIPARCAM</t>
  </si>
  <si>
    <t xml:space="preserve">PAPETERIE DOUGLAS</t>
  </si>
  <si>
    <t xml:space="preserve">AFRICA BUSINESS CORPORATION SARL</t>
  </si>
  <si>
    <t xml:space="preserve">TAMO RIGOBERT</t>
  </si>
  <si>
    <t xml:space="preserve">CHARLY DECOR</t>
  </si>
  <si>
    <t xml:space="preserve">DREAM MILLENIUM COMPUTER</t>
  </si>
  <si>
    <t xml:space="preserve">PLAZA &amp; LA PAZ</t>
  </si>
  <si>
    <t xml:space="preserve">PRIMA DEELITE</t>
  </si>
  <si>
    <t xml:space="preserve">TRUVISION CO. CAMEROUN</t>
  </si>
  <si>
    <t xml:space="preserve">                            237 342 95 6</t>
  </si>
  <si>
    <t xml:space="preserve">ELECTRO STAR</t>
  </si>
  <si>
    <t xml:space="preserve">LOUIS TORBEY</t>
  </si>
  <si>
    <t xml:space="preserve">COFRELEC SARL</t>
  </si>
  <si>
    <t xml:space="preserve">677 62 10 31</t>
  </si>
  <si>
    <t xml:space="preserve">SOREMA SARL</t>
  </si>
  <si>
    <t xml:space="preserve">670798251/ 656225722</t>
  </si>
  <si>
    <t xml:space="preserve">677851664/ 695354322</t>
  </si>
  <si>
    <t xml:space="preserve">PAPETERIE NONO</t>
  </si>
  <si>
    <t xml:space="preserve">ETS FBS</t>
  </si>
  <si>
    <t xml:space="preserve">STE SOKAFI SARL</t>
  </si>
  <si>
    <t xml:space="preserve">ROYAL GIANT CAMEROON SARL</t>
  </si>
  <si>
    <t xml:space="preserve">FOURNISSEUR LOCAL EN COURS DE TRAITEMENT</t>
  </si>
  <si>
    <t xml:space="preserve">ICRAFON</t>
  </si>
  <si>
    <t xml:space="preserve">ETS VAL / HARI SARL</t>
  </si>
  <si>
    <t xml:space="preserve">INTERNATIONNAL TRADING COMPANY SARL (ITC)</t>
  </si>
  <si>
    <t xml:space="preserve">INDIS-IT Ltd</t>
  </si>
  <si>
    <t xml:space="preserve">KAKOTEL CAMEROON SA</t>
  </si>
  <si>
    <t xml:space="preserve">MANUELLA COMPUTER CENTER SARL</t>
  </si>
  <si>
    <t xml:space="preserve">TAL COMPUTER GROUP SARL</t>
  </si>
  <si>
    <t xml:space="preserve">INTERFACE SARL</t>
  </si>
  <si>
    <t xml:space="preserve">FCEMI SARL</t>
  </si>
  <si>
    <t xml:space="preserve">693 35 93 93</t>
  </si>
  <si>
    <t xml:space="preserve">NESTA BTP SARL</t>
  </si>
  <si>
    <t xml:space="preserve">653 49 62 35</t>
  </si>
  <si>
    <t xml:space="preserve">DAIKIN DAICONFORT</t>
  </si>
  <si>
    <t xml:space="preserve">STUDIO SOLF SARL</t>
  </si>
  <si>
    <t xml:space="preserve">GRAPHICOMPUTER</t>
  </si>
  <si>
    <t xml:space="preserve">SACONETS SA</t>
  </si>
  <si>
    <t xml:space="preserve">DGR &amp; FILS</t>
  </si>
  <si>
    <t xml:space="preserve">PREMICE COMPUTER SARL</t>
  </si>
  <si>
    <t xml:space="preserve">HOME SOLUTION SARL</t>
  </si>
  <si>
    <t xml:space="preserve">SODIPROD SARL</t>
  </si>
  <si>
    <t xml:space="preserve">COMMANDANT INFORMATIQUE</t>
  </si>
  <si>
    <t xml:space="preserve">BECTRUM</t>
  </si>
  <si>
    <t xml:space="preserve">BEXEL Hausgerate</t>
  </si>
  <si>
    <t xml:space="preserve">ETS HIGH TECH SOLUTIONS</t>
  </si>
  <si>
    <t xml:space="preserve">ETS SPEEDY</t>
  </si>
  <si>
    <t xml:space="preserve">TRANSITAIRE</t>
  </si>
  <si>
    <t xml:space="preserve">COGENI CAMEROUN SA</t>
  </si>
  <si>
    <t xml:space="preserve">ETS CHRIST DEBT COMPUTER</t>
  </si>
  <si>
    <t xml:space="preserve">PRIMO </t>
  </si>
  <si>
    <t xml:space="preserve">Ancienne CCC Douala </t>
  </si>
  <si>
    <t xml:space="preserve">ETS RADO</t>
  </si>
  <si>
    <t xml:space="preserve">RUE BUREAU DES TRANSPORTS </t>
  </si>
  <si>
    <t xml:space="preserve">AFRILUX SA (F)</t>
  </si>
  <si>
    <t xml:space="preserve">INTEK SARL (F)</t>
  </si>
  <si>
    <t xml:space="preserve">SCHNEIDER ELECTRIC CAMEROUN S.A</t>
  </si>
  <si>
    <t xml:space="preserve">HARNET SYSTEM CAMEROUN SARL</t>
  </si>
  <si>
    <t xml:space="preserve">.PAUL</t>
  </si>
  <si>
    <t xml:space="preserve">JET CASH </t>
  </si>
  <si>
    <t xml:space="preserve">ETS MEI LEI</t>
  </si>
  <si>
    <t xml:space="preserve">CACOKAG INTERNATIONAL </t>
  </si>
  <si>
    <t xml:space="preserve">NGO EMMANUEL MANJOH </t>
  </si>
  <si>
    <t xml:space="preserve">NKOUANKAM ADELE (F)</t>
  </si>
  <si>
    <t xml:space="preserve">GENESTAR TECHNOLOGIES (F)</t>
  </si>
  <si>
    <t xml:space="preserve">WATT SERVICES SARL</t>
  </si>
  <si>
    <t xml:space="preserve">STE FURNITURE PLAZA </t>
  </si>
  <si>
    <t xml:space="preserve">OPERATEUR MAK-OP SARL </t>
  </si>
  <si>
    <t xml:space="preserve">ETS MENE</t>
  </si>
  <si>
    <t xml:space="preserve">SOCIETE ICE </t>
  </si>
  <si>
    <t xml:space="preserve">VISIBILITY (ETS)</t>
  </si>
  <si>
    <t xml:space="preserve">MASTER KEYS SARLMAS </t>
  </si>
  <si>
    <t xml:space="preserve">ETS GROUPE TRIPOLAIRE </t>
  </si>
  <si>
    <t xml:space="preserve">GLOBAL ELECTRIC SARL</t>
  </si>
  <si>
    <t xml:space="preserve">ETS SECURITE - INCENDIE</t>
  </si>
  <si>
    <t xml:space="preserve">UNION NATIONALE DES PETITES ET MOYEN </t>
  </si>
  <si>
    <t xml:space="preserve">DIGITAL COMPUTERS </t>
  </si>
  <si>
    <t xml:space="preserve">NIXO-TECH CAMEROON </t>
  </si>
  <si>
    <t xml:space="preserve">GENERAL TELECOM SYSTEM (GTS)</t>
  </si>
  <si>
    <t xml:space="preserve">GROUPE EMMA SARL </t>
  </si>
  <si>
    <t xml:space="preserve">GROUPE WACO SARL </t>
  </si>
  <si>
    <t xml:space="preserve">YAOUNDE CAMEROUN </t>
  </si>
  <si>
    <t xml:space="preserve">DELEGATION LITT CHAMBRE DE COMMERCE</t>
  </si>
  <si>
    <t xml:space="preserve">KING CONSTRUCTION SARL </t>
  </si>
  <si>
    <t xml:space="preserve">KAM ET BEA CONSTRUCTION</t>
  </si>
  <si>
    <t xml:space="preserve">AS COMMUNICATION SARL </t>
  </si>
  <si>
    <t xml:space="preserve">WN CONSULTING </t>
  </si>
  <si>
    <t xml:space="preserve">GENESTAR TECHNOLOGIES </t>
  </si>
  <si>
    <t xml:space="preserve">ELECTRO EQUIPE SARL </t>
  </si>
  <si>
    <t xml:space="preserve">RHODANIENNE DE TRANSIT </t>
  </si>
  <si>
    <t xml:space="preserve">DOUALA </t>
  </si>
  <si>
    <t xml:space="preserve">ETS LUGAR LTD </t>
  </si>
  <si>
    <t xml:space="preserve">ETS TIM COM </t>
  </si>
  <si>
    <t xml:space="preserve">ALINK TECHNOLOGIES SARL </t>
  </si>
  <si>
    <t xml:space="preserve">FJC (TECHNOLOGIES &amp; SERVICES)</t>
  </si>
  <si>
    <t xml:space="preserve">Ekoudjou</t>
  </si>
  <si>
    <t xml:space="preserve">MK ET FILS PLUS SARL</t>
  </si>
  <si>
    <t xml:space="preserve">695 36 45 40</t>
  </si>
  <si>
    <t xml:space="preserve">677 91 87 13</t>
  </si>
  <si>
    <t xml:space="preserve">MARITECH SARL</t>
  </si>
  <si>
    <t xml:space="preserve">687 38 01 02</t>
  </si>
  <si>
    <t xml:space="preserve">678 46 10 40</t>
  </si>
  <si>
    <t xml:space="preserve">STE HUGE AFRIC SARL</t>
  </si>
  <si>
    <t xml:space="preserve">ETS NDB</t>
  </si>
  <si>
    <t xml:space="preserve">620 92 05 73</t>
  </si>
  <si>
    <t xml:space="preserve">ETS NEW TECH</t>
  </si>
  <si>
    <t xml:space="preserve">SMART HOUSE</t>
  </si>
  <si>
    <t xml:space="preserve">MAISON DE LA SIGNALISATION SARL</t>
  </si>
  <si>
    <t xml:space="preserve">douala</t>
  </si>
  <si>
    <t xml:space="preserve">MARITECH</t>
  </si>
  <si>
    <t xml:space="preserve">DM APPROTECH SARL </t>
  </si>
  <si>
    <t xml:space="preserve">doual</t>
  </si>
  <si>
    <t xml:space="preserve">3TSOLUTION SARL</t>
  </si>
  <si>
    <t xml:space="preserve">GLOBAL BUSINESS TECHNOLOGIES &amp; SERVICES CORPORATION</t>
  </si>
  <si>
    <t xml:space="preserve">AHY GROUP SARL</t>
  </si>
  <si>
    <t xml:space="preserve">ETS NOUVELLE OPTION SERVICES &amp; COMPAGNIE</t>
  </si>
  <si>
    <t xml:space="preserve">DIVINE SUPPLIES AND SERVICES</t>
  </si>
  <si>
    <t xml:space="preserve">GLC INTERNATIONAL</t>
  </si>
  <si>
    <t xml:space="preserve">FOURNISSEURS DIVERS</t>
  </si>
  <si>
    <t xml:space="preserve">2 ELT LTD</t>
  </si>
  <si>
    <t xml:space="preserve">ARMANDK</t>
  </si>
  <si>
    <t xml:space="preserve">HANTOU CHRISTOPHE</t>
  </si>
  <si>
    <t xml:space="preserve">AFRICAN LEASE TOGO</t>
  </si>
  <si>
    <t xml:space="preserve">Jebel Ali Free Zone Street</t>
  </si>
  <si>
    <t xml:space="preserve">CHOLET</t>
  </si>
  <si>
    <t xml:space="preserve">Rue Armand Mayer</t>
  </si>
  <si>
    <t xml:space="preserve">CHINE</t>
  </si>
  <si>
    <t xml:space="preserve">ACS SARL</t>
  </si>
  <si>
    <t xml:space="preserve">USA</t>
  </si>
  <si>
    <t xml:space="preserve">Morocco</t>
  </si>
  <si>
    <t xml:space="preserve">CASABLANCA</t>
  </si>
  <si>
    <t xml:space="preserve">HANGZOU YUANXING </t>
  </si>
  <si>
    <t xml:space="preserve">SENEGAL</t>
  </si>
  <si>
    <t xml:space="preserve">Dakar</t>
  </si>
  <si>
    <t xml:space="preserve">ENGLAND</t>
  </si>
  <si>
    <t xml:space="preserve">KEUMBOU TATANG GEORGES FRANCOIS </t>
  </si>
  <si>
    <t xml:space="preserve">AFRICAN CLOUD SOLUTIONS</t>
  </si>
  <si>
    <t xml:space="preserve">CARDPRESSO</t>
  </si>
  <si>
    <t xml:space="preserve">HASGUL CABLE TURQUIE </t>
  </si>
  <si>
    <t xml:space="preserve">TURQUIE </t>
  </si>
  <si>
    <t xml:space="preserve">TECNO ALARM FRANCE</t>
  </si>
  <si>
    <t xml:space="preserve">PARIS</t>
  </si>
  <si>
    <t xml:space="preserve">AGUILLERA</t>
  </si>
  <si>
    <t xml:space="preserve">ALADJI INTERNATIONAL</t>
  </si>
  <si>
    <t xml:space="preserve">ALU CONSTRUCTIONS</t>
  </si>
  <si>
    <t xml:space="preserve">APPAK CONTROL SARL</t>
  </si>
  <si>
    <t xml:space="preserve">AREA</t>
  </si>
  <si>
    <t xml:space="preserve">AURA CAMEROUN</t>
  </si>
  <si>
    <t xml:space="preserve">BAILLEUR TAGNE AUGUSTIN</t>
  </si>
  <si>
    <t xml:space="preserve">BELEX</t>
  </si>
  <si>
    <t xml:space="preserve">BERNABE CMR</t>
  </si>
  <si>
    <t xml:space="preserve">BLOOSAT</t>
  </si>
  <si>
    <t xml:space="preserve">BLUE SQUARE (F)</t>
  </si>
  <si>
    <t xml:space="preserve">BODET SOFTWARE</t>
  </si>
  <si>
    <t xml:space="preserve">CABINET A.A NIEBOU</t>
  </si>
  <si>
    <t xml:space="preserve">CACOFIS</t>
  </si>
  <si>
    <t xml:space="preserve">CEGOL TRANSIT</t>
  </si>
  <si>
    <t xml:space="preserve">CENTRE TECHNOLOGIE MODERNE ET APPLI</t>
  </si>
  <si>
    <t xml:space="preserve">CMI CAMEROUN</t>
  </si>
  <si>
    <t xml:space="preserve">CODIREL CAMEROUN</t>
  </si>
  <si>
    <t xml:space="preserve">COMPAGNIE CMR DE FTURE ET DE PRESTA</t>
  </si>
  <si>
    <t xml:space="preserve">CONNECTIK CAMEROUN</t>
  </si>
  <si>
    <t xml:space="preserve">CREATIVE/ONANA GHISLAIN L</t>
  </si>
  <si>
    <t xml:space="preserve">DEA SERVICES</t>
  </si>
  <si>
    <t xml:space="preserve">DONVIDEX SUPPORT SERVICES SARL</t>
  </si>
  <si>
    <t xml:space="preserve">EASYNET</t>
  </si>
  <si>
    <t xml:space="preserve">EKESON SARL</t>
  </si>
  <si>
    <t xml:space="preserve">EMMA ELECTRONIC</t>
  </si>
  <si>
    <t xml:space="preserve">EQUINOXE</t>
  </si>
  <si>
    <t xml:space="preserve">ETRAFOR-MATELO</t>
  </si>
  <si>
    <t xml:space="preserve">ETS ALAM &amp; FILS</t>
  </si>
  <si>
    <t xml:space="preserve">ETS ALERT INCENDIE CMR</t>
  </si>
  <si>
    <t xml:space="preserve">ETS ALU METAL</t>
  </si>
  <si>
    <t xml:space="preserve">ETS BATI SERVICES</t>
  </si>
  <si>
    <t xml:space="preserve">ETS CLIVITEL ET ASSOCIES</t>
  </si>
  <si>
    <t xml:space="preserve">ETS CONFIDENTIEL</t>
  </si>
  <si>
    <t xml:space="preserve">ETS EBEN TECHNOLOGIES</t>
  </si>
  <si>
    <t xml:space="preserve">ETS EUTYCHE</t>
  </si>
  <si>
    <t xml:space="preserve">ETS GALAXY SERVICE</t>
  </si>
  <si>
    <t xml:space="preserve">ETS HOPE</t>
  </si>
  <si>
    <t xml:space="preserve">ETS JO ET FILS</t>
  </si>
  <si>
    <t xml:space="preserve">ETS K ET FILS</t>
  </si>
  <si>
    <t xml:space="preserve">ETS KT ET PARTENAIRES</t>
  </si>
  <si>
    <t xml:space="preserve">ETS MANTE</t>
  </si>
  <si>
    <t xml:space="preserve">ETS MB SERVICE</t>
  </si>
  <si>
    <t xml:space="preserve">ETS MMA</t>
  </si>
  <si>
    <t xml:space="preserve">ETS NNC SERVICES</t>
  </si>
  <si>
    <t xml:space="preserve">ETS PACIFIC ALU VERRES</t>
  </si>
  <si>
    <t xml:space="preserve">ETS ROYAL G7</t>
  </si>
  <si>
    <t xml:space="preserve">ETS SILICON GLOBE</t>
  </si>
  <si>
    <t xml:space="preserve">ETS TAKENG SARL</t>
  </si>
  <si>
    <t xml:space="preserve">ETS TAMO INTERNATIONAL</t>
  </si>
  <si>
    <t xml:space="preserve">ETS TDA</t>
  </si>
  <si>
    <t xml:space="preserve">ETS TRESOR DIVINE</t>
  </si>
  <si>
    <t xml:space="preserve">ETS VISIBILITY</t>
  </si>
  <si>
    <t xml:space="preserve">ETS WAMO</t>
  </si>
  <si>
    <t xml:space="preserve">FAS DESIGN</t>
  </si>
  <si>
    <t xml:space="preserve">FEDEX</t>
  </si>
  <si>
    <t xml:space="preserve">FOOTEH METAL ALU</t>
  </si>
  <si>
    <t xml:space="preserve">GADGET SARL</t>
  </si>
  <si>
    <t xml:space="preserve">GARAGE ABATTOIR</t>
  </si>
  <si>
    <t xml:space="preserve">GARAGE AUTO ADE</t>
  </si>
  <si>
    <t xml:space="preserve">GARAGE MANFOUO</t>
  </si>
  <si>
    <t xml:space="preserve">GARAGE NICKSON</t>
  </si>
  <si>
    <t xml:space="preserve">GARAGE TOKYO</t>
  </si>
  <si>
    <t xml:space="preserve">GARARGE AUTO SERVICES HERMES</t>
  </si>
  <si>
    <t xml:space="preserve">GENERAL CONSULTING</t>
  </si>
  <si>
    <t xml:space="preserve">GENESTAR CAMEROUN</t>
  </si>
  <si>
    <t xml:space="preserve">GLOBAL ENGENEERING SOLUTIONS</t>
  </si>
  <si>
    <t xml:space="preserve">GLOBOTECH</t>
  </si>
  <si>
    <t xml:space="preserve">HERVE DECOR</t>
  </si>
  <si>
    <t xml:space="preserve">HESNAULT</t>
  </si>
  <si>
    <t xml:space="preserve">677 12 38 93</t>
  </si>
  <si>
    <t xml:space="preserve">HIGHER GLORY TECHNOLOGIES</t>
  </si>
  <si>
    <t xml:space="preserve">HOLDEE ELECTRIC</t>
  </si>
  <si>
    <t xml:space="preserve">HOLDEE JIANGSU ELECTRIC</t>
  </si>
  <si>
    <t xml:space="preserve">IDEMIA</t>
  </si>
  <si>
    <t xml:space="preserve">INGENIERIES DIVERSES ET TECHNOLOGIE</t>
  </si>
  <si>
    <t xml:space="preserve">INVEST LOGISTIC</t>
  </si>
  <si>
    <t xml:space="preserve">JACO</t>
  </si>
  <si>
    <t xml:space="preserve">JB SYSTEMS</t>
  </si>
  <si>
    <t xml:space="preserve">KEN'S METALLIQUE</t>
  </si>
  <si>
    <t xml:space="preserve">KEY AUTOMATION</t>
  </si>
  <si>
    <t xml:space="preserve">KRIMIGRAPHIC GROUP MEDIA</t>
  </si>
  <si>
    <t xml:space="preserve">LAMBERT DES SONS</t>
  </si>
  <si>
    <t xml:space="preserve">LAZOTO DIRECT</t>
  </si>
  <si>
    <t xml:space="preserve">LOGITECH RALLY</t>
  </si>
  <si>
    <t xml:space="preserve">MAITRE MOULIOM</t>
  </si>
  <si>
    <t xml:space="preserve">MAITRE NDOME MALAKE</t>
  </si>
  <si>
    <t xml:space="preserve">MAKALA STUDIO</t>
  </si>
  <si>
    <t xml:space="preserve">MAKIM</t>
  </si>
  <si>
    <t xml:space="preserve">Me NGAKOU FOTSING</t>
  </si>
  <si>
    <t xml:space="preserve">Me NKENE ENDOMO</t>
  </si>
  <si>
    <t xml:space="preserve">MEZINDJOU CLEMENT</t>
  </si>
  <si>
    <t xml:space="preserve">MINFI/PVI</t>
  </si>
  <si>
    <t xml:space="preserve">NGUEJIO KAGHO ERIC</t>
  </si>
  <si>
    <t xml:space="preserve">NJOH MOUDIO BAILLEUR DOUALA</t>
  </si>
  <si>
    <t xml:space="preserve">NKEM GANG ALEX</t>
  </si>
  <si>
    <t xml:space="preserve">PACIFIC ALU VERRES</t>
  </si>
  <si>
    <t xml:space="preserve">PANO INDUS CAM</t>
  </si>
  <si>
    <t xml:space="preserve">PAPINCO ET FILS</t>
  </si>
  <si>
    <t xml:space="preserve">PHARMACIE DU SOLEIL</t>
  </si>
  <si>
    <t xml:space="preserve">PINYI ELECTRONIC</t>
  </si>
  <si>
    <t xml:space="preserve">PLANETE MEDIA</t>
  </si>
  <si>
    <t xml:space="preserve">POLYGROUP</t>
  </si>
  <si>
    <t xml:space="preserve">PYRONIX LIMITED</t>
  </si>
  <si>
    <t xml:space="preserve">RG FRANCE</t>
  </si>
  <si>
    <t xml:space="preserve">SAGE GRAPHIC</t>
  </si>
  <si>
    <t xml:space="preserve">SALIHOU IYAGAROU</t>
  </si>
  <si>
    <t xml:space="preserve">SALON PROMOTE</t>
  </si>
  <si>
    <t xml:space="preserve">SANO CAMEROUN</t>
  </si>
  <si>
    <t xml:space="preserve">SATEL MADE TO PROTECT</t>
  </si>
  <si>
    <t xml:space="preserve">SCHONBERG KRUPP</t>
  </si>
  <si>
    <t xml:space="preserve">SESAME ACCESS CO</t>
  </si>
  <si>
    <t xml:space="preserve">SET TRADING GMBH</t>
  </si>
  <si>
    <t xml:space="preserve">SHENZHEN COBAN ELECTRONICSCO</t>
  </si>
  <si>
    <t xml:space="preserve">SIM'S TECHNOLOGIE ET CO SARL</t>
  </si>
  <si>
    <t xml:space="preserve">SOFFO SIMO JEROME</t>
  </si>
  <si>
    <t xml:space="preserve">SOUTHCOMP-POLARIS</t>
  </si>
  <si>
    <t xml:space="preserve">SYNDY'S FASHION</t>
  </si>
  <si>
    <t xml:space="preserve">SYSTEM APPLICATION ELECTRO</t>
  </si>
  <si>
    <t xml:space="preserve">SYSTEMS NETWORK PROFESSIONAL</t>
  </si>
  <si>
    <t xml:space="preserve">TAKENG SARL</t>
  </si>
  <si>
    <t xml:space="preserve">TELEC SERVICES</t>
  </si>
  <si>
    <t xml:space="preserve">TEXYS</t>
  </si>
  <si>
    <t xml:space="preserve">TM ENTREPRISE SARL</t>
  </si>
  <si>
    <t xml:space="preserve">TOTAL CAMEROUN</t>
  </si>
  <si>
    <t xml:space="preserve">TRADEX</t>
  </si>
  <si>
    <t xml:space="preserve">TYREX COMMUNICATION</t>
  </si>
  <si>
    <t xml:space="preserve">VIDECOM S.A</t>
  </si>
  <si>
    <t xml:space="preserve">WAHEGURU TRAVELS</t>
  </si>
  <si>
    <t xml:space="preserve">WEB COSTING CANADA</t>
  </si>
  <si>
    <t xml:space="preserve">WIITEK</t>
  </si>
  <si>
    <t xml:space="preserve">YE ZUYUAN</t>
  </si>
  <si>
    <t xml:space="preserve">CARD</t>
  </si>
  <si>
    <t xml:space="preserve">QZT ELECTRONIC CO LTD </t>
  </si>
  <si>
    <t xml:space="preserve">China</t>
  </si>
  <si>
    <t xml:space="preserve">HONGKONG </t>
  </si>
  <si>
    <t xml:space="preserve">ITANCIA</t>
  </si>
  <si>
    <t xml:space="preserve">Turkey</t>
  </si>
  <si>
    <t xml:space="preserve">Turquie </t>
  </si>
  <si>
    <t xml:space="preserve">AUTO LEADERS </t>
  </si>
  <si>
    <t xml:space="preserve">Hong kong</t>
  </si>
  <si>
    <t xml:space="preserve">TURKUAZ </t>
  </si>
  <si>
    <t xml:space="preserve">Istanbul</t>
  </si>
  <si>
    <t xml:space="preserve">QZT ELECTRONIC</t>
  </si>
  <si>
    <t xml:space="preserve">chine</t>
  </si>
  <si>
    <t xml:space="preserve">UR FOG</t>
  </si>
  <si>
    <t xml:space="preserve">PARIS </t>
  </si>
  <si>
    <t xml:space="preserve">AMF ELEKTRIK DIS TIC </t>
  </si>
  <si>
    <t xml:space="preserve">#1512656</t>
  </si>
  <si>
    <t xml:space="preserve">Italy</t>
  </si>
  <si>
    <t xml:space="preserve">#1512898</t>
  </si>
  <si>
    <t xml:space="preserve">Pingshan industrial avenue tangxia town</t>
  </si>
  <si>
    <t xml:space="preserve">+0086-769-82109997</t>
  </si>
  <si>
    <t xml:space="preserve">casablanca, 4eme etage quatier Oasis</t>
  </si>
  <si>
    <t xml:space="preserve">GURTAM DMCC</t>
  </si>
  <si>
    <t xml:space="preserve">WIALON</t>
  </si>
  <si>
    <t xml:space="preserve">SAAJE Consulting</t>
  </si>
  <si>
    <t xml:space="preserve">Douala, Makepe</t>
  </si>
  <si>
    <t xml:space="preserve">jerry.saagouon@saajeconsulting.com</t>
  </si>
  <si>
    <t xml:space="preserve">IT( tous secteurs )</t>
  </si>
  <si>
    <t xml:space="preserve">Trust Systems</t>
  </si>
  <si>
    <t xml:space="preserve">Douala, Akwa</t>
  </si>
  <si>
    <t xml:space="preserve">peric.nouthio@trust-systems.net</t>
  </si>
  <si>
    <t xml:space="preserve">MBS First</t>
  </si>
  <si>
    <t xml:space="preserve">Douala, Cité Palmiers</t>
  </si>
  <si>
    <t xml:space="preserve">mbsfirstcam@gmail.com</t>
  </si>
  <si>
    <t xml:space="preserve">Always Technolgies</t>
  </si>
  <si>
    <t xml:space="preserve">cindy.elong@always-technologies.com</t>
  </si>
  <si>
    <t xml:space="preserve">Universal Software</t>
  </si>
  <si>
    <t xml:space="preserve">Douala, Bali</t>
  </si>
  <si>
    <t xml:space="preserve">ornella.pendji@us-cm.com</t>
  </si>
  <si>
    <t xml:space="preserve">EPET</t>
  </si>
  <si>
    <t xml:space="preserve">SARL</t>
  </si>
  <si>
    <t xml:space="preserve">Groupe electrogene</t>
  </si>
  <si>
    <t xml:space="preserve">Materiel chantier</t>
  </si>
  <si>
    <t xml:space="preserve">Energie solaire</t>
  </si>
  <si>
    <t xml:space="preserve">LP+SERVICE</t>
  </si>
  <si>
    <t xml:space="preserve">Douala/Yaoundé</t>
  </si>
  <si>
    <t xml:space="preserve">Piece detachée</t>
  </si>
  <si>
    <t xml:space="preserve">Materiel depannage</t>
  </si>
  <si>
    <t xml:space="preserve">ELECTRA TECHNOLOGY</t>
  </si>
  <si>
    <t xml:space="preserve">fixation et isolation</t>
  </si>
  <si>
    <t xml:space="preserve">LEAD.CO</t>
  </si>
  <si>
    <t xml:space="preserve">Metal et Panneaux PUB</t>
  </si>
  <si>
    <t xml:space="preserve">Nkodengui</t>
  </si>
  <si>
    <t xml:space="preserve">Chef Agence</t>
  </si>
  <si>
    <t xml:space="preserve">Jocelyn</t>
  </si>
  <si>
    <t xml:space="preserve">683 66 17 43</t>
  </si>
  <si>
    <t xml:space="preserve">693 48 18 99</t>
  </si>
  <si>
    <t xml:space="preserve">KARTHIK</t>
  </si>
  <si>
    <t xml:space="preserve">695 34 22 65</t>
  </si>
  <si>
    <t xml:space="preserve">BEACH</t>
  </si>
  <si>
    <t xml:space="preserve">Ousmane</t>
  </si>
  <si>
    <t xml:space="preserve">657 80 80 80 </t>
  </si>
  <si>
    <t xml:space="preserve">657 30 30 30</t>
  </si>
  <si>
    <t xml:space="preserve">2 K P</t>
  </si>
  <si>
    <t xml:space="preserve">MBOPPI</t>
  </si>
  <si>
    <t xml:space="preserve">677 33 22 19</t>
  </si>
  <si>
    <t xml:space="preserve">677 51 41 58</t>
  </si>
  <si>
    <t xml:space="preserve">699 04 94 34</t>
  </si>
  <si>
    <t xml:space="preserve">ROYAL</t>
  </si>
  <si>
    <t xml:space="preserve">M</t>
  </si>
  <si>
    <t xml:space="preserve">Michelle</t>
  </si>
  <si>
    <t xml:space="preserve">LAPAZ</t>
  </si>
  <si>
    <t xml:space="preserve">Ajay</t>
  </si>
  <si>
    <t xml:space="preserve">Vicky</t>
  </si>
  <si>
    <t xml:space="preserve">SHAZAM</t>
  </si>
  <si>
    <t xml:space="preserve">FURNITURE PLAZA</t>
  </si>
  <si>
    <t xml:space="preserve">HOME SOLUTIONS</t>
  </si>
  <si>
    <t xml:space="preserve">698 00 48 07</t>
  </si>
  <si>
    <t xml:space="preserve">COURANT FORT COURANT FAIBLE</t>
  </si>
  <si>
    <t xml:space="preserve">698 77 02 02</t>
  </si>
  <si>
    <t xml:space="preserve">651 73 55 14</t>
  </si>
  <si>
    <t xml:space="preserve">LIGTH CONNEXION</t>
  </si>
  <si>
    <t xml:space="preserve">675 86 44 92</t>
  </si>
  <si>
    <t xml:space="preserve">COURANT FORT / INFORMATIQUE</t>
  </si>
  <si>
    <t xml:space="preserve">EVOLIS</t>
  </si>
  <si>
    <t xml:space="preserve"> +33241364591</t>
  </si>
  <si>
    <t xml:space="preserve">gleborgne@evolis.com</t>
  </si>
  <si>
    <t xml:space="preserve">IMPRIMANTE A CARTE</t>
  </si>
  <si>
    <t xml:space="preserve">+ 33/2 41 71 44 82</t>
  </si>
  <si>
    <t xml:space="preserve">export@kelio.com</t>
  </si>
  <si>
    <t xml:space="preserve">GTP</t>
  </si>
  <si>
    <t xml:space="preserve">Contrôle d'accès </t>
  </si>
  <si>
    <t xml:space="preserve">SECURITE</t>
  </si>
  <si>
    <t xml:space="preserve">Polygroup</t>
  </si>
  <si>
    <t xml:space="preserve">Espagne</t>
  </si>
  <si>
    <t xml:space="preserve"> (+34) 605 098 217</t>
  </si>
  <si>
    <t xml:space="preserve">export4@afpolygroup.com</t>
  </si>
  <si>
    <t xml:space="preserve">Planchers technique</t>
  </si>
  <si>
    <t xml:space="preserve">Zktco</t>
  </si>
  <si>
    <t xml:space="preserve"> (+86)13723766441</t>
  </si>
  <si>
    <t xml:space="preserve">lauric@zkteco.com</t>
  </si>
  <si>
    <t xml:space="preserve">Tourniquet</t>
  </si>
  <si>
    <t xml:space="preserve">EVERBRIGHT SECURE- </t>
  </si>
  <si>
    <t xml:space="preserve"> (+86)19939348058</t>
  </si>
  <si>
    <t xml:space="preserve">mike@ebtscure.com</t>
  </si>
  <si>
    <t xml:space="preserve">Materiels réseau</t>
  </si>
  <si>
    <t xml:space="preserve">Pyronix</t>
  </si>
  <si>
    <t xml:space="preserve"> +44 (0)1709 700100</t>
  </si>
  <si>
    <t xml:space="preserve">LisaB@pyronix.com</t>
  </si>
  <si>
    <t xml:space="preserve">Alarme Anti intrusion</t>
  </si>
  <si>
    <t xml:space="preserve">Solustop</t>
  </si>
  <si>
    <t xml:space="preserve">01 42 33 00 31</t>
  </si>
  <si>
    <t xml:space="preserve">cpeguy@solustop.com</t>
  </si>
  <si>
    <t xml:space="preserve">boitier GPS</t>
  </si>
  <si>
    <t xml:space="preserve">Plateforme GPS</t>
  </si>
  <si>
    <t xml:space="preserve"> Géolocalisation</t>
  </si>
  <si>
    <t xml:space="preserve">Wialon</t>
  </si>
  <si>
    <t xml:space="preserve"> Lituanie</t>
  </si>
  <si>
    <t xml:space="preserve">+370 37 248 077</t>
  </si>
  <si>
    <t xml:space="preserve">k.kulesh@wialon.com</t>
  </si>
  <si>
    <t xml:space="preserve">Teltonika</t>
  </si>
  <si>
    <t xml:space="preserve">Maroc</t>
  </si>
  <si>
    <t xml:space="preserve">mehdi.chaibi@teltonika-iot.ma</t>
  </si>
  <si>
    <t xml:space="preserve">ms.villapando@naffco.com</t>
  </si>
  <si>
    <t xml:space="preserve">Extincteurs</t>
  </si>
  <si>
    <t xml:space="preserve">RIA</t>
  </si>
  <si>
    <t xml:space="preserve">Alarmen Incendie</t>
  </si>
  <si>
    <t xml:space="preserve">Wavelink L.L.C</t>
  </si>
  <si>
    <t xml:space="preserve">+971 52 316 2277</t>
  </si>
  <si>
    <t xml:space="preserve">marketing@wavelinkuae.com</t>
  </si>
  <si>
    <t xml:space="preserve">APKR</t>
  </si>
  <si>
    <t xml:space="preserve">(+971) 568079710</t>
  </si>
  <si>
    <t xml:space="preserve">apkrnetworking@hotmail.com</t>
  </si>
  <si>
    <t xml:space="preserve">Materiel  cablâge  informatique</t>
  </si>
  <si>
    <t xml:space="preserve">CABLAGE</t>
  </si>
  <si>
    <t xml:space="preserve">LEGRAND</t>
  </si>
  <si>
    <t xml:space="preserve">cyrille.kamgno@legrand.com</t>
  </si>
  <si>
    <t xml:space="preserve">Materiel  cablâge  Electrique</t>
  </si>
  <si>
    <t xml:space="preserve">STAR TRACK</t>
  </si>
  <si>
    <t xml:space="preserve"> (+971) 552143630</t>
  </si>
  <si>
    <t xml:space="preserve">disque dur</t>
  </si>
  <si>
    <t xml:space="preserve">Regulateur</t>
  </si>
  <si>
    <t xml:space="preserve">ELECTRONIQUE</t>
  </si>
  <si>
    <t xml:space="preserve">ANDELI</t>
  </si>
  <si>
    <t xml:space="preserve"> (+971) 502734359</t>
  </si>
  <si>
    <t xml:space="preserve">REGULATEUR </t>
  </si>
  <si>
    <t xml:space="preserve">STABILIZATEUR</t>
  </si>
  <si>
    <t xml:space="preserve">ELECTONIQUE</t>
  </si>
  <si>
    <t xml:space="preserve">VATAN KABLO</t>
  </si>
  <si>
    <t xml:space="preserve">Turquie</t>
  </si>
  <si>
    <t xml:space="preserve">+90(212)2103331</t>
  </si>
  <si>
    <t xml:space="preserve">ali.savadogo@vatan.com.tr</t>
  </si>
  <si>
    <t xml:space="preserve">HUNKA KABLO</t>
  </si>
  <si>
    <t xml:space="preserve">export2@hunkakablo.com.tr</t>
  </si>
  <si>
    <t xml:space="preserve">Câble réseau </t>
  </si>
  <si>
    <t xml:space="preserve">Bodet-timesport</t>
  </si>
  <si>
    <t xml:space="preserve"> 00 33 2 41 71 72 35</t>
  </si>
  <si>
    <t xml:space="preserve">export@bodet-timesport.com</t>
  </si>
  <si>
    <t xml:space="preserve">Horlorge</t>
  </si>
  <si>
    <t xml:space="preserve">Distribution Horaire</t>
  </si>
  <si>
    <t xml:space="preserve">Tecno Alarm</t>
  </si>
  <si>
    <t xml:space="preserve">+33 4 78406525</t>
  </si>
  <si>
    <t xml:space="preserve">pierre.fournier@tecnoalarm.com</t>
  </si>
  <si>
    <t xml:space="preserve">Alarme an ti intrusion</t>
  </si>
  <si>
    <t xml:space="preserve">Alarme incendie</t>
  </si>
  <si>
    <t xml:space="preserve">Dahua</t>
  </si>
  <si>
    <t xml:space="preserve">wang_guan4@dahuatech.com</t>
  </si>
  <si>
    <t xml:space="preserve">Materiel Vidéosurveillance</t>
  </si>
  <si>
    <t xml:space="preserve">Ecran interactif</t>
  </si>
  <si>
    <t xml:space="preserve">Hikvision</t>
  </si>
  <si>
    <t xml:space="preserve">huanglibin@hikvision.com</t>
  </si>
  <si>
    <t xml:space="preserve">Emilie</t>
  </si>
  <si>
    <t xml:space="preserve">njuffoemilie@gmail.com</t>
  </si>
  <si>
    <t xml:space="preserve">Materiel informatique</t>
  </si>
  <si>
    <t xml:space="preserve">Vidéosurveillance</t>
  </si>
  <si>
    <t xml:space="preserve">Sécurité et réseau</t>
  </si>
  <si>
    <t xml:space="preserve">#Nr.</t>
  </si>
  <si>
    <t xml:space="preserve">Famille</t>
  </si>
  <si>
    <t xml:space="preserve">categories</t>
  </si>
  <si>
    <t xml:space="preserve">Produits/services</t>
  </si>
  <si>
    <t xml:space="preserve">Fourniture &amp; Matériel de  bureau</t>
  </si>
  <si>
    <t xml:space="preserve">Bureautique</t>
  </si>
  <si>
    <t xml:space="preserve">Déchiqueteuses, Relieuses, Plastifieuses, Titreuses, Calculatrices, Ruban, Pochettes plastification, Pile, Logiciel bureautique</t>
  </si>
  <si>
    <t xml:space="preserve">Papeterie &amp; consommables</t>
  </si>
  <si>
    <t xml:space="preserve">Papier, stylos, cartouches d’encre, toner, classeurs</t>
  </si>
  <si>
    <t xml:space="preserve">Mobilier de bureau</t>
  </si>
  <si>
    <t xml:space="preserve">Chaises, bureaux, armoires, rangements</t>
  </si>
  <si>
    <t xml:space="preserve">Fournitures informatiques</t>
  </si>
  <si>
    <t xml:space="preserve">Claviers, souris, écrans, supports, câbles</t>
  </si>
  <si>
    <t xml:space="preserve">Hygiène &amp; entretien</t>
  </si>
  <si>
    <t xml:space="preserve">Produits de nettoyage, serviettes, savon, désinfectants</t>
  </si>
  <si>
    <t xml:space="preserve">Équipements de sécurité</t>
  </si>
  <si>
    <t xml:space="preserve">Extincteurs, trousses de secours, EPI, signalétique</t>
  </si>
  <si>
    <t xml:space="preserve">Caféterie &amp; convivialité</t>
  </si>
  <si>
    <t xml:space="preserve">Cafetières, gobelets, eau, snacks, distributeurs automatiques</t>
  </si>
  <si>
    <t xml:space="preserve">Bagagerie</t>
  </si>
  <si>
    <t xml:space="preserve">Sac</t>
  </si>
  <si>
    <t xml:space="preserve">IT &amp; Télécom</t>
  </si>
  <si>
    <t xml:space="preserve">Matériel informatique</t>
  </si>
  <si>
    <t xml:space="preserve">PC, ordinateurs portables, serveurs, tablettes</t>
  </si>
  <si>
    <t xml:space="preserve">Réseaux &amp; télécoms</t>
  </si>
  <si>
    <t xml:space="preserve">Routeurs, switchs, abonnements Internet, téléphonie IP</t>
  </si>
  <si>
    <t xml:space="preserve">Logiciels &amp; licences</t>
  </si>
  <si>
    <t xml:space="preserve">ERP, CRM, antivirus, bureautique, SaaS</t>
  </si>
  <si>
    <t xml:space="preserve">Développement &amp; maintenance</t>
  </si>
  <si>
    <t xml:space="preserve">Développement web/app, intégration systèmes, support technique</t>
  </si>
  <si>
    <t xml:space="preserve">Hébergement &amp; cloud</t>
  </si>
  <si>
    <t xml:space="preserve">Hébergement web, stockage, sauvegarde, data center</t>
  </si>
  <si>
    <t xml:space="preserve">Services numériques</t>
  </si>
  <si>
    <t xml:space="preserve">Cybersécurité, infogérance, maintenance réseau</t>
  </si>
  <si>
    <t xml:space="preserve">Marketing &amp; Communication</t>
  </si>
  <si>
    <t xml:space="preserve">Publicité &amp; médias</t>
  </si>
  <si>
    <t xml:space="preserve">Campagnes digitales, TV, radio, presse, affichage</t>
  </si>
  <si>
    <t xml:space="preserve">Marketing digital</t>
  </si>
  <si>
    <t xml:space="preserve">SEO, SEA, social ads, email marketing, marketing automation</t>
  </si>
  <si>
    <t xml:space="preserve">Création &amp; design</t>
  </si>
  <si>
    <t xml:space="preserve">Identité visuelle, graphisme, motion design, vidéo</t>
  </si>
  <si>
    <t xml:space="preserve">Événementiel</t>
  </si>
  <si>
    <t xml:space="preserve">Organisation salons, conférences, PLV, goodies</t>
  </si>
  <si>
    <t xml:space="preserve">Relations publiques</t>
  </si>
  <si>
    <t xml:space="preserve">Influence, presse, partenariats, sponsoring</t>
  </si>
  <si>
    <t xml:space="preserve">Outils &amp; plateformes</t>
  </si>
  <si>
    <t xml:space="preserve">Outils CRM, outils de suivi de performance marketing, plateformes publicitaires</t>
  </si>
  <si>
    <t xml:space="preserve">Goodies &amp; accessoires</t>
  </si>
  <si>
    <t xml:space="preserve">Investissement &amp; Travaux</t>
  </si>
  <si>
    <t xml:space="preserve">Équipements de production</t>
  </si>
  <si>
    <t xml:space="preserve">Machines, lignes d’assemblage, outils industriels</t>
  </si>
  <si>
    <t xml:space="preserve">Infrastructure &amp; bâtiment</t>
  </si>
  <si>
    <t xml:space="preserve">Travaux, aménagement, construction, rénovation</t>
  </si>
  <si>
    <t xml:space="preserve">Matériel roulant</t>
  </si>
  <si>
    <t xml:space="preserve">Véhicules, engins de manutention, chariots élévateurs</t>
  </si>
  <si>
    <t xml:space="preserve">Immobilisations immatérielles</t>
  </si>
  <si>
    <t xml:space="preserve">Logiciels, brevets, licences exclusives</t>
  </si>
  <si>
    <t xml:space="preserve">Équipements informatiques lourds</t>
  </si>
  <si>
    <t xml:space="preserve">Serveurs, data centers, infrastructures réseau</t>
  </si>
  <si>
    <t xml:space="preserve">Équipements de sécurité &amp; contrôle</t>
  </si>
  <si>
    <t xml:space="preserve">Systèmes de surveillance, alarmes, dispositifs d’accès</t>
  </si>
  <si>
    <t xml:space="preserve">Matières premières &amp; PSF</t>
  </si>
  <si>
    <t xml:space="preserve">Produits de base</t>
  </si>
  <si>
    <t xml:space="preserve">Métaux, plastiques, bois, verre, textile, papier brut</t>
  </si>
  <si>
    <t xml:space="preserve">Produits chimiques</t>
  </si>
  <si>
    <t xml:space="preserve">Peintures, colles, solvants, additifs</t>
  </si>
  <si>
    <t xml:space="preserve">Produits alimentaires</t>
  </si>
  <si>
    <t xml:space="preserve">Céréales, fruits, huiles, ingrédients divers</t>
  </si>
  <si>
    <t xml:space="preserve">Composants industriels</t>
  </si>
  <si>
    <t xml:space="preserve">Pièces mécaniques, composants électroniques</t>
  </si>
  <si>
    <t xml:space="preserve">Énergie &amp; carburants</t>
  </si>
  <si>
    <t xml:space="preserve">Électricité, gaz, fuel, carburant industriel, froid</t>
  </si>
  <si>
    <t xml:space="preserve">Composants et pièces détachées</t>
  </si>
  <si>
    <t xml:space="preserve">Emballages</t>
  </si>
  <si>
    <t xml:space="preserve">Negoce</t>
  </si>
  <si>
    <t xml:space="preserve">Produits semis – finis</t>
  </si>
  <si>
    <t xml:space="preserve">Prestation</t>
  </si>
  <si>
    <t xml:space="preserve">Conseil &amp; expertise</t>
  </si>
  <si>
    <t xml:space="preserve">Cabinets de conseil, auditeurs, formateurs, coachs, consultants indépendants</t>
  </si>
  <si>
    <t xml:space="preserve">Services logistiques</t>
  </si>
  <si>
    <t xml:space="preserve">Transport, stockage, manutention, douane</t>
  </si>
  <si>
    <t xml:space="preserve">Maintenance &amp; entretien</t>
  </si>
  <si>
    <t xml:space="preserve">Maintenance bâtiments, véhicules, équipements, climatisation</t>
  </si>
  <si>
    <t xml:space="preserve">Services généraux</t>
  </si>
  <si>
    <t xml:space="preserve">Sécurité, nettoyage, gardiennage, restauration collective</t>
  </si>
  <si>
    <t xml:space="preserve">Ressources humaines</t>
  </si>
  <si>
    <t xml:space="preserve">Intérim, recrutement, paie externalisée, formation du personnel</t>
  </si>
  <si>
    <t xml:space="preserve">Juridique &amp; comptable</t>
  </si>
  <si>
    <t xml:space="preserve">Honoraires avocats, experts-comptables, fiscalistes</t>
  </si>
  <si>
    <t xml:space="preserve">Facility management</t>
  </si>
  <si>
    <t xml:space="preserve">Entretien des locaux, espaces verts, gestion des déchets</t>
  </si>
  <si>
    <t xml:space="preserve">Fourniture &amp; Matériel de cuisine</t>
  </si>
  <si>
    <t xml:space="preserve">Electroménager</t>
  </si>
  <si>
    <t xml:space="preserve">Congélateurs &amp; Refrigérateurs</t>
  </si>
  <si>
    <t xml:space="preserve">Cuisinieres, Plaques à  gaz, fours électriques, micro-ondes, friteuse</t>
  </si>
  <si>
    <t xml:space="preserve">Rice Cooker &amp; Fritteuse Elec</t>
  </si>
  <si>
    <t xml:space="preserve">Mixeurs</t>
  </si>
  <si>
    <t xml:space="preserve">Bouilloires, cafetières</t>
  </si>
  <si>
    <t xml:space="preserve">Aspirateurs</t>
  </si>
  <si>
    <t xml:space="preserve">Machine a Laver</t>
  </si>
  <si>
    <t xml:space="preserve">Balances</t>
  </si>
  <si>
    <t xml:space="preserve">Tondeuses</t>
  </si>
  <si>
    <t xml:space="preserve">Accessoires Electroménager</t>
  </si>
  <si>
    <t xml:space="preserve">Electronique</t>
  </si>
  <si>
    <t xml:space="preserve">Téléviseurs, Lecteur DVD, radio &amp; mini-châine</t>
  </si>
  <si>
    <t xml:space="preserve"> Baffles Amplifié - Casques &amp; Home cinéma</t>
  </si>
  <si>
    <t xml:space="preserve">Ferà  repasser</t>
  </si>
  <si>
    <t xml:space="preserve">Broyeurs de Papiers</t>
  </si>
  <si>
    <t xml:space="preserve">Téléphones &amp; Fax</t>
  </si>
  <si>
    <t xml:space="preserve">Pendules &amp; Trotteuses</t>
  </si>
  <si>
    <t xml:space="preserve">Vaisselle</t>
  </si>
  <si>
    <t xml:space="preserve">Courant fort &amp; faible</t>
  </si>
  <si>
    <t xml:space="preserve">Sécurité &amp; Contrôle d’accès</t>
  </si>
  <si>
    <t xml:space="preserve">Système de contrôle d’accès </t>
  </si>
  <si>
    <t xml:space="preserve">Barrières levantes &amp; tourniquets </t>
  </si>
  <si>
    <t xml:space="preserve">Détecteurs de métaux </t>
  </si>
  <si>
    <t xml:space="preserve">Systèmes d’alarme </t>
  </si>
  <si>
    <t xml:space="preserve">Vidéosurveillance &amp; caméras espion</t>
  </si>
  <si>
    <t xml:space="preserve">Portes de chambre hôtelières </t>
  </si>
  <si>
    <t xml:space="preserve">Extincteurs &amp; RIA </t>
  </si>
  <si>
    <t xml:space="preserve">Systèmes incendie </t>
  </si>
  <si>
    <t xml:space="preserve">Géolocalisation </t>
  </si>
  <si>
    <t xml:space="preserve">Matériel électrique</t>
  </si>
  <si>
    <t xml:space="preserve">Tableaux électriques, Disjoncteurs, Interrupteurs différentiels, Disjoncteurs différentiels, Modules de commande, Interrupteur sectionneur, Parafoudres</t>
  </si>
  <si>
    <t xml:space="preserve">Froid &amp; Climatisation</t>
  </si>
  <si>
    <t xml:space="preserve">Matériel frigorifique</t>
  </si>
  <si>
    <t xml:space="preserve">Fixation </t>
  </si>
  <si>
    <t xml:space="preserve">Isolation </t>
  </si>
  <si>
    <t xml:space="preserve">Localisation</t>
  </si>
  <si>
    <t xml:space="preserve">Service</t>
  </si>
  <si>
    <t xml:space="preserve">Ponctuel</t>
  </si>
  <si>
    <t xml:space="preserve">Fourniture &amp; Matériel de bureau</t>
  </si>
  <si>
    <t xml:space="preserve">Bureautique, Papeterie &amp; consommables, Mobilier de bureau, Fournitures informatiques, Hygiène &amp; entretien, Équipements de sécurité, Caféterie &amp; convivialité, Mobilier de bureau</t>
  </si>
  <si>
    <t xml:space="preserve">Occasionnel</t>
  </si>
  <si>
    <t xml:space="preserve">Matériel informatique, Réseaux &amp; télécoms, Logiciels &amp; licences, Développement &amp; maintenance, Hébergement &amp; cloud, Services numériques, Fournitures informatiques</t>
  </si>
  <si>
    <t xml:space="preserve">Regulier</t>
  </si>
  <si>
    <t xml:space="preserve">Courant Fort &amp; Faible</t>
  </si>
  <si>
    <t xml:space="preserve">Matériel électrique, Electromenager, froid et climatisation, Sécurité &amp; Contrôle d’accès</t>
  </si>
  <si>
    <t xml:space="preserve">Sous contrat</t>
  </si>
  <si>
    <t xml:space="preserve">Sénégal</t>
  </si>
  <si>
    <t xml:space="preserve">Investissement &amp; travaux</t>
  </si>
  <si>
    <t xml:space="preserve">Équipements de production, Infrastructure &amp; bâtiment, Matériel roulant, Immobilisations immatérielles, Équipements informatiques lourds, Équipements de sécurité &amp; contrôle</t>
  </si>
  <si>
    <t xml:space="preserve">Publicité &amp; médias, Marketing digital, Création &amp; design, Événementiel, Relations publiques, Outils &amp; plateformes, Goodies &amp; accessoires</t>
  </si>
  <si>
    <t xml:space="preserve">Produits de base, Produits chimiques, Produits alimentaires, Composants industriels, Énergie &amp; carburants, Composants et pièces détachées, Emballages, Negoce, Produits semis – finis</t>
  </si>
  <si>
    <t xml:space="preserve">Prestations</t>
  </si>
  <si>
    <t xml:space="preserve">Conseil &amp; expertise, Services logistiques, Maintenance &amp; entretien, Services généraux, Ressources humaines, Juridique &amp; comptable, Facility management</t>
  </si>
  <si>
    <t xml:space="preserve">Magasin</t>
  </si>
</sst>
</file>

<file path=xl/styles.xml><?xml version="1.0" encoding="utf-8"?>
<styleSheet xmlns="http://schemas.openxmlformats.org/spreadsheetml/2006/main">
  <numFmts count="14">
    <numFmt numFmtId="164" formatCode="General"/>
    <numFmt numFmtId="165" formatCode="#,##0.00\ _€"/>
    <numFmt numFmtId="166" formatCode="[$-F800]dddd&quot;, &quot;mmmm\ dd&quot;, &quot;yyyy"/>
    <numFmt numFmtId="167" formatCode="d/m/yyyy"/>
    <numFmt numFmtId="168" formatCode="dd/mm/yyyy"/>
    <numFmt numFmtId="169" formatCode="#,##0"/>
    <numFmt numFmtId="170" formatCode="#,##0.00"/>
    <numFmt numFmtId="171" formatCode="#,##0\ _€"/>
    <numFmt numFmtId="172" formatCode="0\ %"/>
    <numFmt numFmtId="173" formatCode="_-* #,##0\ _€_-;\-* #,##0\ _€_-;_-* \-??\ _€_-;_-@"/>
    <numFmt numFmtId="174" formatCode="0"/>
    <numFmt numFmtId="175" formatCode="dd\-mmm"/>
    <numFmt numFmtId="176" formatCode="General"/>
    <numFmt numFmtId="177" formatCode="#,##0.00\ _€;[RED]\-#,##0.00\ _€"/>
  </numFmts>
  <fonts count="33">
    <font>
      <sz val="11"/>
      <color theme="1"/>
      <name val="Calibri"/>
      <family val="0"/>
      <charset val="1"/>
    </font>
    <font>
      <sz val="10"/>
      <name val="Arial"/>
      <family val="0"/>
    </font>
    <font>
      <sz val="10"/>
      <name val="Arial"/>
      <family val="0"/>
    </font>
    <font>
      <sz val="10"/>
      <name val="Arial"/>
      <family val="0"/>
    </font>
    <font>
      <u val="single"/>
      <sz val="11"/>
      <color theme="10"/>
      <name val="Calibri"/>
      <family val="2"/>
      <charset val="1"/>
    </font>
    <font>
      <sz val="11"/>
      <color theme="1"/>
      <name val="Calibri"/>
      <family val="2"/>
      <charset val="1"/>
    </font>
    <font>
      <sz val="11"/>
      <color rgb="FF1F3864"/>
      <name val="Calibri"/>
      <family val="2"/>
      <charset val="1"/>
    </font>
    <font>
      <sz val="9"/>
      <color rgb="FF000000"/>
      <name val="Arial Narrow"/>
      <family val="2"/>
      <charset val="1"/>
    </font>
    <font>
      <sz val="9"/>
      <color rgb="FF000000"/>
      <name val="Calibri"/>
      <family val="2"/>
      <charset val="1"/>
    </font>
    <font>
      <b val="true"/>
      <sz val="9"/>
      <color theme="1"/>
      <name val="Arial"/>
      <family val="2"/>
      <charset val="1"/>
    </font>
    <font>
      <b val="true"/>
      <sz val="11"/>
      <color theme="1"/>
      <name val="Arial"/>
      <family val="2"/>
      <charset val="1"/>
    </font>
    <font>
      <sz val="9"/>
      <color rgb="FF000000"/>
      <name val="Arial"/>
      <family val="2"/>
      <charset val="1"/>
    </font>
    <font>
      <sz val="11"/>
      <color rgb="FF000000"/>
      <name val="Arial"/>
      <family val="2"/>
      <charset val="1"/>
    </font>
    <font>
      <sz val="11"/>
      <color rgb="FF000000"/>
      <name val="Calibri"/>
      <family val="2"/>
      <charset val="1"/>
    </font>
    <font>
      <b val="true"/>
      <sz val="14"/>
      <color rgb="FF000000"/>
      <name val="Arial Narrow"/>
      <family val="2"/>
      <charset val="1"/>
    </font>
    <font>
      <b val="true"/>
      <sz val="12"/>
      <color rgb="FF000000"/>
      <name val="Arial Narrow"/>
      <family val="2"/>
      <charset val="1"/>
    </font>
    <font>
      <sz val="11"/>
      <color rgb="FF000000"/>
      <name val="Arial Narrow"/>
      <family val="2"/>
      <charset val="1"/>
    </font>
    <font>
      <sz val="14"/>
      <color rgb="FF000000"/>
      <name val="Arial Narrow"/>
      <family val="2"/>
      <charset val="1"/>
    </font>
    <font>
      <sz val="12"/>
      <color rgb="FF000000"/>
      <name val="Arial Narrow"/>
      <family val="2"/>
      <charset val="1"/>
    </font>
    <font>
      <b val="true"/>
      <sz val="16"/>
      <color rgb="FF000000"/>
      <name val="Arial Narrow"/>
      <family val="2"/>
      <charset val="1"/>
    </font>
    <font>
      <b val="true"/>
      <u val="single"/>
      <sz val="16"/>
      <color rgb="FFFF0000"/>
      <name val="Aptos Narrow"/>
      <family val="2"/>
      <charset val="1"/>
    </font>
    <font>
      <sz val="16"/>
      <color rgb="FF000000"/>
      <name val="Calibri"/>
      <family val="2"/>
      <charset val="1"/>
    </font>
    <font>
      <b val="true"/>
      <sz val="10"/>
      <color rgb="FF000000"/>
      <name val="Arial Narrow"/>
      <family val="2"/>
      <charset val="1"/>
    </font>
    <font>
      <sz val="10"/>
      <color rgb="FF000000"/>
      <name val="Arial Narrow"/>
      <family val="2"/>
      <charset val="1"/>
    </font>
    <font>
      <sz val="14"/>
      <color rgb="FF000000"/>
      <name val="Calibri"/>
      <family val="2"/>
      <charset val="1"/>
    </font>
    <font>
      <b val="true"/>
      <sz val="14"/>
      <color theme="0"/>
      <name val="Calibri"/>
      <family val="2"/>
      <charset val="1"/>
    </font>
    <font>
      <b val="true"/>
      <sz val="12"/>
      <color theme="1"/>
      <name val="Calibri"/>
      <family val="2"/>
      <charset val="1"/>
    </font>
    <font>
      <sz val="10"/>
      <name val="Arial"/>
      <family val="2"/>
      <charset val="1"/>
    </font>
    <font>
      <u val="single"/>
      <sz val="11"/>
      <color theme="10"/>
      <name val="Calibri"/>
      <family val="0"/>
      <charset val="1"/>
    </font>
    <font>
      <sz val="10"/>
      <name val="Arial"/>
      <family val="2"/>
    </font>
    <font>
      <sz val="9"/>
      <color rgb="FF000000"/>
      <name val="Tahoma"/>
      <family val="2"/>
      <charset val="1"/>
    </font>
    <font>
      <sz val="10"/>
      <color theme="1"/>
      <name val="Calibri"/>
      <family val="2"/>
      <charset val="1"/>
    </font>
    <font>
      <b val="true"/>
      <sz val="11"/>
      <color theme="1"/>
      <name val="Calibri"/>
      <family val="2"/>
      <charset val="1"/>
    </font>
  </fonts>
  <fills count="9">
    <fill>
      <patternFill patternType="none"/>
    </fill>
    <fill>
      <patternFill patternType="gray125"/>
    </fill>
    <fill>
      <patternFill patternType="solid">
        <fgColor rgb="FFFFFF00"/>
        <bgColor rgb="FFFFFF00"/>
      </patternFill>
    </fill>
    <fill>
      <patternFill patternType="solid">
        <fgColor theme="0" tint="-0.15"/>
        <bgColor rgb="FFCCCCCC"/>
      </patternFill>
    </fill>
    <fill>
      <patternFill patternType="solid">
        <fgColor rgb="FFFF0000"/>
        <bgColor rgb="FF993300"/>
      </patternFill>
    </fill>
    <fill>
      <patternFill patternType="solid">
        <fgColor rgb="FF92D050"/>
        <bgColor rgb="FF969696"/>
      </patternFill>
    </fill>
    <fill>
      <patternFill patternType="solid">
        <fgColor rgb="FFFFFFFF"/>
        <bgColor rgb="FFFFFFCC"/>
      </patternFill>
    </fill>
    <fill>
      <patternFill patternType="solid">
        <fgColor rgb="FF808080"/>
        <bgColor rgb="FF969696"/>
      </patternFill>
    </fill>
    <fill>
      <patternFill patternType="solid">
        <fgColor rgb="FFFFC000"/>
        <bgColor rgb="FFFF9900"/>
      </patternFill>
    </fill>
  </fills>
  <borders count="31">
    <border diagonalUp="false" diagonalDown="false">
      <left/>
      <right/>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thin"/>
      <top/>
      <bottom style="thin"/>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style="thin"/>
      <top/>
      <bottom/>
      <diagonal/>
    </border>
    <border diagonalUp="false" diagonalDown="false">
      <left style="medium">
        <color rgb="FFCCCCCC"/>
      </left>
      <right style="medium"/>
      <top style="medium"/>
      <bottom style="mediu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medium"/>
      <right style="medium"/>
      <top style="medium"/>
      <bottom style="medium"/>
      <diagonal/>
    </border>
    <border diagonalUp="false" diagonalDown="false">
      <left style="medium"/>
      <right style="medium"/>
      <top style="medium">
        <color rgb="FFCCCCCC"/>
      </top>
      <bottom style="medium"/>
      <diagonal/>
    </border>
    <border diagonalUp="false" diagonalDown="false">
      <left style="medium">
        <color rgb="FFCCCCCC"/>
      </left>
      <right style="medium"/>
      <top style="medium">
        <color rgb="FFCCCCCC"/>
      </top>
      <bottom style="medium"/>
      <diagonal/>
    </border>
    <border diagonalUp="false" diagonalDown="false">
      <left style="medium">
        <color rgb="FFCCCCCC"/>
      </left>
      <right style="medium"/>
      <top/>
      <bottom/>
      <diagonal/>
    </border>
    <border diagonalUp="false" diagonalDown="false">
      <left style="medium">
        <color rgb="FFCCCCCC"/>
      </left>
      <right/>
      <top/>
      <bottom/>
      <diagonal/>
    </border>
    <border diagonalUp="false" diagonalDown="false">
      <left style="thin"/>
      <right/>
      <top/>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8"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5" fontId="5" fillId="2" borderId="0"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tru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7" fontId="5" fillId="0" borderId="5" xfId="0" applyFont="true" applyBorder="true" applyAlignment="true" applyProtection="true">
      <alignment horizontal="general" vertical="bottom" textRotation="0" wrapText="fals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4" fontId="5" fillId="0" borderId="6" xfId="0" applyFont="true" applyBorder="true" applyAlignment="true" applyProtection="true">
      <alignment horizontal="general" vertical="bottom" textRotation="0" wrapText="true" indent="0" shrinkToFit="false"/>
      <protection locked="true" hidden="false"/>
    </xf>
    <xf numFmtId="165" fontId="5" fillId="0" borderId="6" xfId="0" applyFont="true" applyBorder="true" applyAlignment="true" applyProtection="true">
      <alignment horizontal="general" vertical="bottom" textRotation="0" wrapText="false" indent="0" shrinkToFit="false"/>
      <protection locked="true" hidden="false"/>
    </xf>
    <xf numFmtId="164" fontId="5" fillId="0" borderId="7" xfId="0" applyFont="true" applyBorder="true" applyAlignment="true" applyProtection="true">
      <alignment horizontal="general" vertical="bottom" textRotation="0" wrapText="false" indent="0" shrinkToFit="false"/>
      <protection locked="true" hidden="false"/>
    </xf>
    <xf numFmtId="164" fontId="5" fillId="0" borderId="8" xfId="0" applyFont="true" applyBorder="true" applyAlignment="true" applyProtection="true">
      <alignment horizontal="general" vertical="bottom" textRotation="0" wrapText="fals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true" hidden="false"/>
    </xf>
    <xf numFmtId="165" fontId="5" fillId="0" borderId="5" xfId="0" applyFont="true" applyBorder="true" applyAlignment="true" applyProtection="true">
      <alignment horizontal="general" vertical="bottom" textRotation="0" wrapText="false" indent="0" shrinkToFit="false"/>
      <protection locked="true" hidden="false"/>
    </xf>
    <xf numFmtId="164" fontId="5" fillId="0" borderId="9" xfId="0" applyFont="true" applyBorder="true" applyAlignment="true" applyProtection="true">
      <alignment horizontal="general" vertical="bottom" textRotation="0" wrapText="false" indent="0" shrinkToFit="false"/>
      <protection locked="true" hidden="false"/>
    </xf>
    <xf numFmtId="164" fontId="5" fillId="0" borderId="5" xfId="0" applyFont="true" applyBorder="true" applyAlignment="true" applyProtection="true">
      <alignment horizontal="general" vertical="bottom" textRotation="0" wrapText="true" indent="0" shrinkToFit="false"/>
      <protection locked="true" hidden="false"/>
    </xf>
    <xf numFmtId="164" fontId="6" fillId="0" borderId="5" xfId="0" applyFont="true" applyBorder="true" applyAlignment="true" applyProtection="true">
      <alignment horizontal="general" vertical="bottom" textRotation="0" wrapText="false" indent="0" shrinkToFit="false"/>
      <protection locked="true" hidden="false"/>
    </xf>
    <xf numFmtId="168" fontId="5" fillId="0" borderId="5" xfId="0" applyFont="true" applyBorder="true" applyAlignment="true" applyProtection="true">
      <alignment horizontal="general" vertical="bottom" textRotation="0" wrapText="false" indent="0" shrinkToFit="false"/>
      <protection locked="true" hidden="false"/>
    </xf>
    <xf numFmtId="169" fontId="5" fillId="0" borderId="5" xfId="0" applyFont="true" applyBorder="true" applyAlignment="true" applyProtection="true">
      <alignment horizontal="general" vertical="bottom" textRotation="0" wrapText="false" indent="0" shrinkToFit="false"/>
      <protection locked="true" hidden="false"/>
    </xf>
    <xf numFmtId="170" fontId="5" fillId="0" borderId="5" xfId="0" applyFont="true" applyBorder="true" applyAlignment="true" applyProtection="true">
      <alignment horizontal="general" vertical="bottom" textRotation="0" wrapText="true" indent="0" shrinkToFit="false"/>
      <protection locked="true" hidden="false"/>
    </xf>
    <xf numFmtId="170" fontId="5" fillId="0" borderId="5" xfId="0" applyFont="true" applyBorder="true" applyAlignment="true" applyProtection="true">
      <alignment horizontal="general" vertical="bottom" textRotation="0" wrapText="false" indent="0" shrinkToFit="false"/>
      <protection locked="true" hidden="false"/>
    </xf>
    <xf numFmtId="171" fontId="5" fillId="0" borderId="5" xfId="0" applyFont="true" applyBorder="true" applyAlignment="true" applyProtection="true">
      <alignment horizontal="general" vertical="bottom" textRotation="0" wrapText="false" indent="0" shrinkToFit="false"/>
      <protection locked="true" hidden="false"/>
    </xf>
    <xf numFmtId="172" fontId="5" fillId="0" borderId="5" xfId="0" applyFont="true" applyBorder="true" applyAlignment="true" applyProtection="true">
      <alignment horizontal="general" vertical="bottom" textRotation="0" wrapText="false" indent="0" shrinkToFit="false"/>
      <protection locked="true" hidden="false"/>
    </xf>
    <xf numFmtId="173" fontId="5" fillId="0" borderId="5" xfId="0" applyFont="true" applyBorder="true" applyAlignment="true" applyProtection="true">
      <alignment horizontal="general" vertical="bottom" textRotation="0" wrapText="false" indent="0" shrinkToFit="false"/>
      <protection locked="true" hidden="false"/>
    </xf>
    <xf numFmtId="174" fontId="5" fillId="0" borderId="5" xfId="0" applyFont="true" applyBorder="true" applyAlignment="true" applyProtection="true">
      <alignment horizontal="general" vertical="bottom" textRotation="0" wrapText="false" indent="0" shrinkToFit="false"/>
      <protection locked="true" hidden="false"/>
    </xf>
    <xf numFmtId="164" fontId="5" fillId="0" borderId="10" xfId="0" applyFont="true" applyBorder="true" applyAlignment="true" applyProtection="true">
      <alignment horizontal="general" vertical="bottom" textRotation="0" wrapText="false" indent="0" shrinkToFit="false"/>
      <protection locked="true" hidden="false"/>
    </xf>
    <xf numFmtId="164" fontId="5" fillId="0" borderId="11" xfId="0" applyFont="true" applyBorder="true" applyAlignment="true" applyProtection="true">
      <alignment horizontal="general" vertical="bottom" textRotation="0" wrapText="true" indent="0" shrinkToFit="false"/>
      <protection locked="true" hidden="false"/>
    </xf>
    <xf numFmtId="164" fontId="0" fillId="0" borderId="5" xfId="0" applyFont="true" applyBorder="true" applyAlignment="true" applyProtection="true">
      <alignment horizontal="general" vertical="bottom" textRotation="0" wrapText="false" indent="0" shrinkToFit="false"/>
      <protection locked="true" hidden="false"/>
    </xf>
    <xf numFmtId="164" fontId="5" fillId="0" borderId="12" xfId="0" applyFont="true" applyBorder="true" applyAlignment="true" applyProtection="true">
      <alignment horizontal="general" vertical="bottom" textRotation="0" wrapText="false" indent="0" shrinkToFit="false"/>
      <protection locked="true" hidden="false"/>
    </xf>
    <xf numFmtId="164" fontId="5" fillId="0" borderId="13" xfId="0" applyFont="true" applyBorder="true" applyAlignment="true" applyProtection="true">
      <alignment horizontal="general" vertical="bottom" textRotation="0" wrapText="false" indent="0" shrinkToFit="false"/>
      <protection locked="true" hidden="false"/>
    </xf>
    <xf numFmtId="168" fontId="5" fillId="0" borderId="14" xfId="0" applyFont="true" applyBorder="true" applyAlignment="true" applyProtection="true">
      <alignment horizontal="right" vertical="bottom" textRotation="0" wrapText="true" indent="0" shrinkToFit="false"/>
      <protection locked="true" hidden="false"/>
    </xf>
    <xf numFmtId="164" fontId="5" fillId="0" borderId="14" xfId="0" applyFont="true" applyBorder="true" applyAlignment="true" applyProtection="true">
      <alignment horizontal="general" vertical="bottom" textRotation="0" wrapText="true" indent="0" shrinkToFit="false"/>
      <protection locked="true" hidden="false"/>
    </xf>
    <xf numFmtId="164" fontId="5" fillId="0" borderId="14" xfId="0" applyFont="true" applyBorder="true" applyAlignment="true" applyProtection="true">
      <alignment horizontal="right" vertical="bottom" textRotation="0" wrapText="true" indent="0" shrinkToFit="false"/>
      <protection locked="true" hidden="false"/>
    </xf>
    <xf numFmtId="164" fontId="0" fillId="0" borderId="9" xfId="0" applyFont="true" applyBorder="true" applyAlignment="true" applyProtection="true">
      <alignment horizontal="general" vertical="bottom" textRotation="0" wrapText="false" indent="0" shrinkToFit="false"/>
      <protection locked="true" hidden="false"/>
    </xf>
    <xf numFmtId="168" fontId="5" fillId="0" borderId="15" xfId="0" applyFont="true" applyBorder="true" applyAlignment="true" applyProtection="true">
      <alignment horizontal="right" vertical="bottom" textRotation="0" wrapText="true" indent="0" shrinkToFit="false"/>
      <protection locked="true" hidden="false"/>
    </xf>
    <xf numFmtId="164" fontId="5" fillId="0" borderId="11" xfId="0" applyFont="true" applyBorder="true" applyAlignment="true" applyProtection="true">
      <alignment horizontal="right" vertical="bottom" textRotation="0" wrapText="true" indent="0" shrinkToFit="false"/>
      <protection locked="true" hidden="false"/>
    </xf>
    <xf numFmtId="168" fontId="5" fillId="0" borderId="16" xfId="0" applyFont="true" applyBorder="true" applyAlignment="true" applyProtection="true">
      <alignment horizontal="right" vertical="bottom" textRotation="0" wrapText="true" indent="0" shrinkToFit="false"/>
      <protection locked="true" hidden="false"/>
    </xf>
    <xf numFmtId="164" fontId="5" fillId="0" borderId="17" xfId="0" applyFont="true" applyBorder="true" applyAlignment="true" applyProtection="true">
      <alignment horizontal="general" vertical="bottom" textRotation="0" wrapText="true" indent="0" shrinkToFit="false"/>
      <protection locked="true" hidden="false"/>
    </xf>
    <xf numFmtId="164" fontId="5" fillId="0" borderId="17" xfId="0" applyFont="true" applyBorder="true" applyAlignment="true" applyProtection="true">
      <alignment horizontal="right" vertical="bottom" textRotation="0" wrapText="tru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5" fillId="0" borderId="17" xfId="0" applyFont="true" applyBorder="true" applyAlignment="true" applyProtection="true">
      <alignment horizontal="left" vertical="top" textRotation="0" wrapText="true" indent="0" shrinkToFit="false"/>
      <protection locked="true" hidden="false"/>
    </xf>
    <xf numFmtId="164" fontId="5" fillId="0" borderId="18" xfId="0" applyFont="true" applyBorder="true" applyAlignment="true" applyProtection="true">
      <alignment horizontal="general" vertical="bottom" textRotation="0" wrapText="true" indent="0" shrinkToFit="false"/>
      <protection locked="true" hidden="false"/>
    </xf>
    <xf numFmtId="164" fontId="5" fillId="0" borderId="19" xfId="0" applyFont="true" applyBorder="true" applyAlignment="true" applyProtection="true">
      <alignment horizontal="general" vertical="bottom" textRotation="0" wrapText="true" indent="0" shrinkToFit="false"/>
      <protection locked="true" hidden="false"/>
    </xf>
    <xf numFmtId="164" fontId="5" fillId="0" borderId="15" xfId="0" applyFont="true" applyBorder="true" applyAlignment="true" applyProtection="true">
      <alignment horizontal="right" vertical="bottom" textRotation="0" wrapText="true" indent="0" shrinkToFit="false"/>
      <protection locked="true" hidden="false"/>
    </xf>
    <xf numFmtId="164" fontId="5" fillId="0" borderId="16" xfId="0" applyFont="true" applyBorder="true" applyAlignment="true" applyProtection="true">
      <alignment horizontal="right" vertical="bottom" textRotation="0" wrapText="true" indent="0" shrinkToFit="false"/>
      <protection locked="true" hidden="false"/>
    </xf>
    <xf numFmtId="168" fontId="0" fillId="0" borderId="5" xfId="0" applyFont="true" applyBorder="true" applyAlignment="true" applyProtection="true">
      <alignment horizontal="general" vertical="bottom" textRotation="0" wrapText="false" indent="0" shrinkToFit="false"/>
      <protection locked="true" hidden="false"/>
    </xf>
    <xf numFmtId="164" fontId="0" fillId="0" borderId="20" xfId="0" applyFont="true" applyBorder="true" applyAlignment="true" applyProtection="true">
      <alignment horizontal="general" vertical="bottom" textRotation="0" wrapText="false" indent="0" shrinkToFit="false"/>
      <protection locked="true" hidden="false"/>
    </xf>
    <xf numFmtId="164" fontId="0" fillId="0" borderId="10" xfId="0" applyFont="tru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false" indent="0" shrinkToFit="false"/>
      <protection locked="true" hidden="false"/>
    </xf>
    <xf numFmtId="164" fontId="0" fillId="0" borderId="21" xfId="0" applyFont="true" applyBorder="true" applyAlignment="true" applyProtection="true">
      <alignment horizontal="general" vertical="bottom" textRotation="0" wrapText="false" indent="0" shrinkToFit="false"/>
      <protection locked="true" hidden="false"/>
    </xf>
    <xf numFmtId="164" fontId="0" fillId="0" borderId="22" xfId="0" applyFont="true" applyBorder="true" applyAlignment="true" applyProtection="true">
      <alignment horizontal="general" vertical="bottom" textRotation="0" wrapText="false" indent="0" shrinkToFit="false"/>
      <protection locked="true" hidden="false"/>
    </xf>
    <xf numFmtId="164" fontId="0" fillId="0" borderId="23" xfId="0" applyFont="true" applyBorder="true" applyAlignment="true" applyProtection="true">
      <alignment horizontal="general" vertical="bottom" textRotation="0" wrapText="false" indent="0" shrinkToFit="false"/>
      <protection locked="true" hidden="false"/>
    </xf>
    <xf numFmtId="164" fontId="5" fillId="0" borderId="0" xfId="23" applyFont="true" applyBorder="true" applyAlignment="true" applyProtection="true">
      <alignment horizontal="general" vertical="bottom" textRotation="0" wrapText="false" indent="0" shrinkToFit="false"/>
      <protection locked="true" hidden="false"/>
    </xf>
    <xf numFmtId="164" fontId="7" fillId="0" borderId="0" xfId="23" applyFont="true" applyBorder="true" applyAlignment="true" applyProtection="true">
      <alignment horizontal="general" vertical="bottom" textRotation="0" wrapText="false" indent="0" shrinkToFit="false"/>
      <protection locked="true" hidden="false"/>
    </xf>
    <xf numFmtId="164" fontId="8" fillId="3" borderId="0" xfId="23" applyFont="true" applyBorder="true" applyAlignment="true" applyProtection="true">
      <alignment horizontal="left" vertical="bottom" textRotation="0" wrapText="false" indent="0" shrinkToFit="false"/>
      <protection locked="true" hidden="false"/>
    </xf>
    <xf numFmtId="164" fontId="9" fillId="0" borderId="1" xfId="23" applyFont="true" applyBorder="true" applyAlignment="true" applyProtection="true">
      <alignment horizontal="center" vertical="bottom" textRotation="0" wrapText="false" indent="0" shrinkToFit="false"/>
      <protection locked="true" hidden="false"/>
    </xf>
    <xf numFmtId="164" fontId="10" fillId="0" borderId="3" xfId="23" applyFont="true" applyBorder="true" applyAlignment="true" applyProtection="true">
      <alignment horizontal="center" vertical="bottom" textRotation="0" wrapText="false" indent="0" shrinkToFit="false"/>
      <protection locked="true" hidden="false"/>
    </xf>
    <xf numFmtId="164" fontId="11" fillId="0" borderId="24" xfId="23" applyFont="true" applyBorder="true" applyAlignment="true" applyProtection="true">
      <alignment horizontal="general" vertical="bottom" textRotation="0" wrapText="false" indent="0" shrinkToFit="false"/>
      <protection locked="true" hidden="false"/>
    </xf>
    <xf numFmtId="164" fontId="12" fillId="0" borderId="25" xfId="23" applyFont="true" applyBorder="true" applyAlignment="true" applyProtection="true">
      <alignment horizontal="general" vertical="bottom" textRotation="0" wrapText="false" indent="0" shrinkToFit="false"/>
      <protection locked="true" hidden="false"/>
    </xf>
    <xf numFmtId="164" fontId="11" fillId="0" borderId="26" xfId="23" applyFont="true" applyBorder="true" applyAlignment="true" applyProtection="true">
      <alignment horizontal="general" vertical="bottom" textRotation="0" wrapText="false" indent="0" shrinkToFit="false"/>
      <protection locked="true" hidden="false"/>
    </xf>
    <xf numFmtId="164" fontId="12" fillId="0" borderId="27" xfId="23" applyFont="true" applyBorder="true" applyAlignment="true" applyProtection="true">
      <alignment horizontal="general" vertical="bottom" textRotation="0" wrapText="false" indent="0" shrinkToFit="false"/>
      <protection locked="true" hidden="false"/>
    </xf>
    <xf numFmtId="164" fontId="13" fillId="0" borderId="0" xfId="23" applyFont="true" applyBorder="true" applyAlignment="true" applyProtection="true">
      <alignment horizontal="general" vertical="bottom" textRotation="0" wrapText="false" indent="0" shrinkToFit="false"/>
      <protection locked="true" hidden="false"/>
    </xf>
    <xf numFmtId="164" fontId="11" fillId="0" borderId="0" xfId="23" applyFont="true" applyBorder="true" applyAlignment="true" applyProtection="true">
      <alignment horizontal="general" vertical="bottom" textRotation="0" wrapText="false" indent="0" shrinkToFit="false"/>
      <protection locked="true" hidden="false"/>
    </xf>
    <xf numFmtId="164" fontId="12" fillId="0" borderId="0" xfId="23" applyFont="true" applyBorder="true" applyAlignment="true" applyProtection="true">
      <alignment horizontal="general" vertical="bottom" textRotation="0" wrapText="false" indent="0" shrinkToFit="false"/>
      <protection locked="true" hidden="false"/>
    </xf>
    <xf numFmtId="164" fontId="8" fillId="0" borderId="0" xfId="23" applyFont="true" applyBorder="true" applyAlignment="true" applyProtection="true">
      <alignment horizontal="general" vertical="bottom" textRotation="0" wrapText="false" indent="0" shrinkToFit="false"/>
      <protection locked="true" hidden="false"/>
    </xf>
    <xf numFmtId="165" fontId="8" fillId="3" borderId="0" xfId="23" applyFont="true" applyBorder="true" applyAlignment="true" applyProtection="true">
      <alignment horizontal="left" vertical="bottom" textRotation="0" wrapText="false" indent="0" shrinkToFit="false"/>
      <protection locked="true" hidden="false"/>
    </xf>
    <xf numFmtId="164" fontId="11" fillId="3" borderId="0" xfId="23" applyFont="true" applyBorder="true" applyAlignment="true" applyProtection="true">
      <alignment horizontal="left" vertical="bottom" textRotation="0" wrapText="false" indent="0" shrinkToFit="false"/>
      <protection locked="true" hidden="false"/>
    </xf>
    <xf numFmtId="164" fontId="14" fillId="0" borderId="0" xfId="23" applyFont="true" applyBorder="true" applyAlignment="true" applyProtection="true">
      <alignment horizontal="general" vertical="bottom" textRotation="0" wrapText="false" indent="0" shrinkToFit="false"/>
      <protection locked="true" hidden="false"/>
    </xf>
    <xf numFmtId="164" fontId="15" fillId="0" borderId="0" xfId="23" applyFont="true" applyBorder="true" applyAlignment="true" applyProtection="true">
      <alignment horizontal="general" vertical="bottom" textRotation="0" wrapText="false" indent="0" shrinkToFit="false"/>
      <protection locked="true" hidden="false"/>
    </xf>
    <xf numFmtId="164" fontId="16" fillId="0" borderId="0" xfId="23" applyFont="true" applyBorder="true" applyAlignment="true" applyProtection="true">
      <alignment horizontal="general" vertical="bottom" textRotation="0" wrapText="false" indent="0" shrinkToFit="false"/>
      <protection locked="true" hidden="false"/>
    </xf>
    <xf numFmtId="164" fontId="17" fillId="2" borderId="0" xfId="23" applyFont="true" applyBorder="true" applyAlignment="true" applyProtection="true">
      <alignment horizontal="general" vertical="bottom" textRotation="0" wrapText="false" indent="0" shrinkToFit="false"/>
      <protection locked="true" hidden="false"/>
    </xf>
    <xf numFmtId="175" fontId="17" fillId="2" borderId="0" xfId="23" applyFont="true" applyBorder="true" applyAlignment="true" applyProtection="true">
      <alignment horizontal="general" vertical="bottom" textRotation="0" wrapText="false" indent="0" shrinkToFit="false"/>
      <protection locked="true" hidden="false"/>
    </xf>
    <xf numFmtId="164" fontId="17" fillId="4" borderId="0" xfId="23" applyFont="true" applyBorder="true" applyAlignment="true" applyProtection="true">
      <alignment horizontal="general" vertical="bottom" textRotation="0" wrapText="false" indent="0" shrinkToFit="false"/>
      <protection locked="true" hidden="false"/>
    </xf>
    <xf numFmtId="164" fontId="17" fillId="5" borderId="0" xfId="23" applyFont="true" applyBorder="true" applyAlignment="true" applyProtection="true">
      <alignment horizontal="general" vertical="bottom" textRotation="0" wrapText="false" indent="0" shrinkToFit="false"/>
      <protection locked="true" hidden="false"/>
    </xf>
    <xf numFmtId="164" fontId="14" fillId="5" borderId="0" xfId="23" applyFont="true" applyBorder="true" applyAlignment="true" applyProtection="true">
      <alignment horizontal="general" vertical="bottom" textRotation="0" wrapText="false" indent="0" shrinkToFit="false"/>
      <protection locked="true" hidden="false"/>
    </xf>
    <xf numFmtId="164" fontId="17" fillId="0" borderId="0" xfId="23" applyFont="true" applyBorder="true" applyAlignment="true" applyProtection="true">
      <alignment horizontal="general" vertical="bottom" textRotation="0" wrapText="false" indent="0" shrinkToFit="false"/>
      <protection locked="true" hidden="false"/>
    </xf>
    <xf numFmtId="164" fontId="17" fillId="6" borderId="0" xfId="23" applyFont="true" applyBorder="true" applyAlignment="true" applyProtection="true">
      <alignment horizontal="center" vertical="center" textRotation="0" wrapText="false" indent="0" shrinkToFit="false"/>
      <protection locked="true" hidden="false"/>
    </xf>
    <xf numFmtId="176" fontId="18" fillId="0" borderId="5" xfId="23" applyFont="true" applyBorder="true" applyAlignment="true" applyProtection="true">
      <alignment horizontal="center" vertical="bottom" textRotation="0" wrapText="false" indent="0" shrinkToFit="false"/>
      <protection locked="true" hidden="false"/>
    </xf>
    <xf numFmtId="164" fontId="19" fillId="6" borderId="0" xfId="23" applyFont="true" applyBorder="true" applyAlignment="true" applyProtection="true">
      <alignment horizontal="center" vertical="center" textRotation="0" wrapText="false" indent="0" shrinkToFit="false"/>
      <protection locked="true" hidden="false"/>
    </xf>
    <xf numFmtId="164" fontId="20" fillId="6" borderId="0" xfId="23" applyFont="true" applyBorder="true" applyAlignment="true" applyProtection="true">
      <alignment horizontal="center" vertical="center" textRotation="0" wrapText="false" indent="0" shrinkToFit="false"/>
      <protection locked="true" hidden="false"/>
    </xf>
    <xf numFmtId="164" fontId="19" fillId="6" borderId="0" xfId="23" applyFont="true" applyBorder="true" applyAlignment="true" applyProtection="true">
      <alignment horizontal="center" vertical="bottom" textRotation="0" wrapText="false" indent="0" shrinkToFit="false"/>
      <protection locked="true" hidden="false"/>
    </xf>
    <xf numFmtId="164" fontId="21" fillId="0" borderId="0" xfId="23" applyFont="true" applyBorder="true" applyAlignment="true" applyProtection="true">
      <alignment horizontal="general" vertical="bottom" textRotation="0" wrapText="false" indent="0" shrinkToFit="false"/>
      <protection locked="true" hidden="false"/>
    </xf>
    <xf numFmtId="164" fontId="22" fillId="7" borderId="28" xfId="23" applyFont="true" applyBorder="true" applyAlignment="true" applyProtection="true">
      <alignment horizontal="center" vertical="center" textRotation="0" wrapText="true" indent="0" shrinkToFit="false"/>
      <protection locked="true" hidden="false"/>
    </xf>
    <xf numFmtId="164" fontId="22" fillId="7" borderId="29" xfId="23" applyFont="true" applyBorder="true" applyAlignment="true" applyProtection="true">
      <alignment horizontal="center" vertical="center" textRotation="0" wrapText="true" indent="0" shrinkToFit="false"/>
      <protection locked="true" hidden="false"/>
    </xf>
    <xf numFmtId="164" fontId="22" fillId="7" borderId="30" xfId="23" applyFont="true" applyBorder="true" applyAlignment="true" applyProtection="true">
      <alignment horizontal="center" vertical="center" textRotation="0" wrapText="true" indent="0" shrinkToFit="false"/>
      <protection locked="true" hidden="false"/>
    </xf>
    <xf numFmtId="164" fontId="23" fillId="6" borderId="8" xfId="23" applyFont="true" applyBorder="true" applyAlignment="true" applyProtection="true">
      <alignment horizontal="center" vertical="center" textRotation="0" wrapText="false" indent="0" shrinkToFit="false"/>
      <protection locked="true" hidden="false"/>
    </xf>
    <xf numFmtId="164" fontId="23" fillId="6" borderId="5" xfId="23" applyFont="true" applyBorder="true" applyAlignment="true" applyProtection="true">
      <alignment horizontal="left" vertical="center" textRotation="0" wrapText="false" indent="0" shrinkToFit="false"/>
      <protection locked="true" hidden="false"/>
    </xf>
    <xf numFmtId="164" fontId="23" fillId="6" borderId="5" xfId="23" applyFont="true" applyBorder="true" applyAlignment="true" applyProtection="true">
      <alignment horizontal="center" vertical="center" textRotation="0" wrapText="false" indent="0" shrinkToFit="false"/>
      <protection locked="true" hidden="false"/>
    </xf>
    <xf numFmtId="177" fontId="22" fillId="6" borderId="5" xfId="23" applyFont="true" applyBorder="true" applyAlignment="true" applyProtection="true">
      <alignment horizontal="center" vertical="center" textRotation="0" wrapText="false" indent="0" shrinkToFit="false"/>
      <protection locked="true" hidden="false"/>
    </xf>
    <xf numFmtId="164" fontId="23" fillId="0" borderId="5" xfId="23" applyFont="true" applyBorder="true" applyAlignment="true" applyProtection="true">
      <alignment horizontal="center" vertical="bottom" textRotation="0" wrapText="false" indent="0" shrinkToFit="false"/>
      <protection locked="true" hidden="false"/>
    </xf>
    <xf numFmtId="164" fontId="23" fillId="0" borderId="9" xfId="23" applyFont="true" applyBorder="true" applyAlignment="true" applyProtection="true">
      <alignment horizontal="general" vertical="bottom" textRotation="0" wrapText="true" indent="0" shrinkToFit="false"/>
      <protection locked="true" hidden="false"/>
    </xf>
    <xf numFmtId="164" fontId="23" fillId="2" borderId="5" xfId="23" applyFont="true" applyBorder="true" applyAlignment="true" applyProtection="true">
      <alignment horizontal="center" vertical="center" textRotation="0" wrapText="false" indent="0" shrinkToFit="false"/>
      <protection locked="true" hidden="false"/>
    </xf>
    <xf numFmtId="164" fontId="23" fillId="2" borderId="5" xfId="23" applyFont="true" applyBorder="true" applyAlignment="true" applyProtection="true">
      <alignment horizontal="center" vertical="bottom" textRotation="0" wrapText="false" indent="0" shrinkToFit="false"/>
      <protection locked="true" hidden="false"/>
    </xf>
    <xf numFmtId="164" fontId="23" fillId="2" borderId="9" xfId="23" applyFont="true" applyBorder="true" applyAlignment="true" applyProtection="true">
      <alignment horizontal="general" vertical="bottom" textRotation="0" wrapText="false" indent="0" shrinkToFit="false"/>
      <protection locked="true" hidden="false"/>
    </xf>
    <xf numFmtId="164" fontId="17" fillId="6" borderId="21" xfId="23" applyFont="true" applyBorder="true" applyAlignment="true" applyProtection="true">
      <alignment horizontal="center" vertical="center" textRotation="0" wrapText="false" indent="0" shrinkToFit="false"/>
      <protection locked="true" hidden="false"/>
    </xf>
    <xf numFmtId="164" fontId="17" fillId="6" borderId="22" xfId="23" applyFont="true" applyBorder="true" applyAlignment="true" applyProtection="true">
      <alignment horizontal="left" vertical="center" textRotation="0" wrapText="false" indent="0" shrinkToFit="false"/>
      <protection locked="true" hidden="false"/>
    </xf>
    <xf numFmtId="164" fontId="17" fillId="0" borderId="22" xfId="23" applyFont="true" applyBorder="true" applyAlignment="true" applyProtection="true">
      <alignment horizontal="general" vertical="bottom" textRotation="0" wrapText="false" indent="0" shrinkToFit="false"/>
      <protection locked="true" hidden="false"/>
    </xf>
    <xf numFmtId="164" fontId="24" fillId="0" borderId="22" xfId="23" applyFont="true" applyBorder="true" applyAlignment="true" applyProtection="true">
      <alignment horizontal="general" vertical="bottom" textRotation="0" wrapText="false" indent="0" shrinkToFit="false"/>
      <protection locked="true" hidden="false"/>
    </xf>
    <xf numFmtId="164" fontId="15" fillId="6" borderId="22" xfId="23" applyFont="true" applyBorder="true" applyAlignment="true" applyProtection="true">
      <alignment horizontal="center" vertical="center" textRotation="0" wrapText="false" indent="0" shrinkToFit="false"/>
      <protection locked="true" hidden="false"/>
    </xf>
    <xf numFmtId="164" fontId="18" fillId="0" borderId="22" xfId="23" applyFont="true" applyBorder="true" applyAlignment="true" applyProtection="true">
      <alignment horizontal="general" vertical="bottom" textRotation="0" wrapText="true" indent="0" shrinkToFit="false"/>
      <protection locked="true" hidden="false"/>
    </xf>
    <xf numFmtId="164" fontId="18" fillId="0" borderId="23" xfId="23" applyFont="true" applyBorder="true" applyAlignment="true" applyProtection="true">
      <alignment horizontal="general" vertical="bottom" textRotation="0" wrapText="true" indent="0" shrinkToFit="false"/>
      <protection locked="true" hidden="false"/>
    </xf>
    <xf numFmtId="164" fontId="5" fillId="0" borderId="8" xfId="22" applyFont="true" applyBorder="true" applyAlignment="true" applyProtection="true">
      <alignment horizontal="general" vertical="bottom" textRotation="0" wrapText="false" indent="0" shrinkToFit="false"/>
      <protection locked="true" hidden="false"/>
    </xf>
    <xf numFmtId="164" fontId="5" fillId="0" borderId="5" xfId="22" applyFont="true" applyBorder="true" applyAlignment="true" applyProtection="true">
      <alignment horizontal="general" vertical="bottom" textRotation="0" wrapText="false" indent="0" shrinkToFit="false"/>
      <protection locked="true" hidden="false"/>
    </xf>
    <xf numFmtId="164" fontId="5" fillId="0" borderId="9" xfId="22" applyFont="true" applyBorder="true" applyAlignment="true" applyProtection="true">
      <alignment horizontal="general" vertical="bottom" textRotation="0" wrapText="false" indent="0" shrinkToFit="false"/>
      <protection locked="true" hidden="false"/>
    </xf>
    <xf numFmtId="164" fontId="5" fillId="0" borderId="0" xfId="22" applyFont="true" applyBorder="true" applyAlignment="true" applyProtection="true">
      <alignment horizontal="general" vertical="bottom" textRotation="0" wrapText="false" indent="0" shrinkToFit="false"/>
      <protection locked="true" hidden="false"/>
    </xf>
    <xf numFmtId="164" fontId="25" fillId="8" borderId="0" xfId="22" applyFont="true" applyBorder="true" applyAlignment="true" applyProtection="true">
      <alignment horizontal="center" vertical="distributed" textRotation="0" wrapText="true" indent="0" shrinkToFit="false"/>
      <protection locked="true" hidden="false"/>
    </xf>
    <xf numFmtId="164" fontId="26" fillId="3" borderId="1" xfId="22" applyFont="true" applyBorder="true" applyAlignment="true" applyProtection="true">
      <alignment horizontal="general" vertical="bottom" textRotation="0" wrapText="false" indent="0" shrinkToFit="false"/>
      <protection locked="true" hidden="false"/>
    </xf>
    <xf numFmtId="164" fontId="26" fillId="3" borderId="2" xfId="22" applyFont="true" applyBorder="true" applyAlignment="true" applyProtection="true">
      <alignment horizontal="general" vertical="bottom" textRotation="0" wrapText="false" indent="0" shrinkToFit="false"/>
      <protection locked="true" hidden="false"/>
    </xf>
    <xf numFmtId="164" fontId="26" fillId="3" borderId="2" xfId="22" applyFont="true" applyBorder="true" applyAlignment="true" applyProtection="true">
      <alignment horizontal="center" vertical="bottom" textRotation="0" wrapText="true" indent="0" shrinkToFit="false"/>
      <protection locked="true" hidden="false"/>
    </xf>
    <xf numFmtId="164" fontId="26" fillId="3" borderId="3" xfId="22" applyFont="true" applyBorder="true" applyAlignment="true" applyProtection="true">
      <alignment horizontal="general" vertical="bottom" textRotation="0" wrapText="false" indent="0" shrinkToFit="false"/>
      <protection locked="true" hidden="false"/>
    </xf>
    <xf numFmtId="164" fontId="5" fillId="0" borderId="4" xfId="22" applyFont="true" applyBorder="true" applyAlignment="true" applyProtection="true">
      <alignment horizontal="general" vertical="bottom" textRotation="0" wrapText="false" indent="0" shrinkToFit="false"/>
      <protection locked="true" hidden="false"/>
    </xf>
    <xf numFmtId="164" fontId="5" fillId="0" borderId="6" xfId="22" applyFont="true" applyBorder="true" applyAlignment="true" applyProtection="true">
      <alignment horizontal="general" vertical="bottom" textRotation="0" wrapText="false" indent="0" shrinkToFit="false"/>
      <protection locked="true" hidden="false"/>
    </xf>
    <xf numFmtId="164" fontId="4" fillId="0" borderId="6" xfId="21" applyFont="true" applyBorder="true" applyAlignment="true" applyProtection="true">
      <alignment horizontal="general" vertical="bottom" textRotation="0" wrapText="false" indent="0" shrinkToFit="false"/>
      <protection locked="true" hidden="false"/>
    </xf>
    <xf numFmtId="164" fontId="5" fillId="0" borderId="7" xfId="22" applyFont="true" applyBorder="true" applyAlignment="true" applyProtection="true">
      <alignment horizontal="general" vertical="bottom" textRotation="0" wrapText="false" indent="0" shrinkToFit="false"/>
      <protection locked="true" hidden="false"/>
    </xf>
    <xf numFmtId="164" fontId="4" fillId="0" borderId="5" xfId="21" applyFont="true" applyBorder="true" applyAlignment="true" applyProtection="true">
      <alignment horizontal="general" vertical="bottom" textRotation="0" wrapText="false" indent="0" shrinkToFit="false"/>
      <protection locked="true" hidden="false"/>
    </xf>
    <xf numFmtId="164" fontId="27" fillId="0" borderId="5" xfId="22" applyFont="true" applyBorder="true" applyAlignment="true" applyProtection="true">
      <alignment horizontal="general" vertical="bottom" textRotation="0" wrapText="false" indent="0" shrinkToFit="false"/>
      <protection locked="true" hidden="false"/>
    </xf>
    <xf numFmtId="164" fontId="28" fillId="0" borderId="5" xfId="20" applyFont="true" applyBorder="true" applyAlignment="true" applyProtection="true">
      <alignment horizontal="general" vertical="bottom" textRotation="0" wrapText="false" indent="0" shrinkToFit="false"/>
      <protection locked="true" hidden="false"/>
    </xf>
    <xf numFmtId="164" fontId="31" fillId="0" borderId="0" xfId="22" applyFont="true" applyBorder="true" applyAlignment="true" applyProtection="true">
      <alignment horizontal="general" vertical="bottom" textRotation="0" wrapText="false" indent="0" shrinkToFit="false"/>
      <protection locked="true" hidden="false"/>
    </xf>
    <xf numFmtId="164" fontId="5" fillId="0" borderId="0" xfId="22" applyFont="true" applyBorder="true" applyAlignment="true" applyProtection="true">
      <alignment horizontal="general" vertical="bottom" textRotation="0" wrapText="true" indent="0" shrinkToFit="false"/>
      <protection locked="true" hidden="false"/>
    </xf>
    <xf numFmtId="164" fontId="32" fillId="0" borderId="0" xfId="22" applyFont="true" applyBorder="true" applyAlignment="true" applyProtection="true">
      <alignment horizontal="general" vertical="bottom" textRotation="0" wrapText="false" indent="0" shrinkToFit="false"/>
      <protection locked="true" hidden="false"/>
    </xf>
    <xf numFmtId="164" fontId="5" fillId="0" borderId="0" xfId="22" applyFont="true" applyBorder="true" applyAlignment="true" applyProtection="true">
      <alignment horizontal="general" vertical="top" textRotation="0" wrapText="false" indent="0" shrinkToFit="false"/>
      <protection locked="true" hidden="false"/>
    </xf>
    <xf numFmtId="164" fontId="5" fillId="0" borderId="0" xfId="22" applyFont="true" applyBorder="true" applyAlignment="true" applyProtection="true">
      <alignment horizontal="general" vertical="center"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Lien hypertexte 2" xfId="21"/>
    <cellStyle name="Normal 2" xfId="22"/>
    <cellStyle name="Normal 3" xfId="23"/>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externalLink" Target="externalLinks/externalLink1.xml"/><Relationship Id="rId11"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Documents%20and%20Settings/advans/Application%20Data/Microsoft/Excel/Management/fiche_identite_processus.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lassement"/>
      <sheetName val="lisez-moi"/>
      <sheetName val="modele"/>
      <sheetName val="Admin"/>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mailto:pendajoselyne@steice.com" TargetMode="External"/><Relationship Id="rId3" Type="http://schemas.openxmlformats.org/officeDocument/2006/relationships/hyperlink" Target="mailto:n.kumar@deeliteglobal.com" TargetMode="External"/><Relationship Id="rId4" Type="http://schemas.openxmlformats.org/officeDocument/2006/relationships/hyperlink" Target="mailto:ktkinternal@gmail.com" TargetMode="External"/><Relationship Id="rId5" Type="http://schemas.openxmlformats.org/officeDocument/2006/relationships/hyperlink" Target="mailto:osman.bader@orca-cam.com" TargetMode="External"/><Relationship Id="rId6" Type="http://schemas.openxmlformats.org/officeDocument/2006/relationships/hyperlink" Target="mailto:ets2kp@gmail.com" TargetMode="External"/><Relationship Id="rId7" Type="http://schemas.openxmlformats.org/officeDocument/2006/relationships/hyperlink" Target="mailto:sodefisarl@yahoo.com" TargetMode="External"/><Relationship Id="rId8" Type="http://schemas.openxmlformats.org/officeDocument/2006/relationships/hyperlink" Target="mailto:motoange@yahoo.fr" TargetMode="External"/><Relationship Id="rId9" Type="http://schemas.openxmlformats.org/officeDocument/2006/relationships/hyperlink" Target="mailto:tyfanie.nlend@ciscameroun.com" TargetMode="External"/><Relationship Id="rId10" Type="http://schemas.openxmlformats.org/officeDocument/2006/relationships/hyperlink" Target="mailto:dssarl93@gmail.com" TargetMode="External"/><Relationship Id="rId11" Type="http://schemas.openxmlformats.org/officeDocument/2006/relationships/hyperlink" Target="mailto:mitelecets@gmail.com" TargetMode="External"/><Relationship Id="rId12" Type="http://schemas.openxmlformats.org/officeDocument/2006/relationships/hyperlink" Target="mailto:tonyzhao@linkwayco.com" TargetMode="External"/><Relationship Id="rId13" Type="http://schemas.openxmlformats.org/officeDocument/2006/relationships/hyperlink" Target="mailto:bat.eleq1@gmail.com" TargetMode="External"/><Relationship Id="rId14" Type="http://schemas.openxmlformats.org/officeDocument/2006/relationships/hyperlink" Target="mailto:ctmacameroun@gmail.com" TargetMode="External"/><Relationship Id="rId15" Type="http://schemas.openxmlformats.org/officeDocument/2006/relationships/hyperlink" Target="mailto:njuffoemilie@gmail.com" TargetMode="External"/><Relationship Id="rId16"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5" zeroHeight="false" outlineLevelRow="0" outlineLevelCol="0"/>
  <cols>
    <col collapsed="false" customWidth="true" hidden="false" outlineLevel="0" max="26" min="1" style="1" width="10.66"/>
  </cols>
  <sheetData>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4" topLeftCell="H59" activePane="bottomRight" state="frozen"/>
      <selection pane="topLeft" activeCell="A1" activeCellId="0" sqref="A1"/>
      <selection pane="topRight" activeCell="H1" activeCellId="0" sqref="H1"/>
      <selection pane="bottomLeft" activeCell="A59" activeCellId="0" sqref="A59"/>
      <selection pane="bottomRight" activeCell="D204" activeCellId="0" sqref="D204"/>
    </sheetView>
  </sheetViews>
  <sheetFormatPr defaultColWidth="14.4453125" defaultRowHeight="15" zeroHeight="false" outlineLevelRow="0" outlineLevelCol="0"/>
  <cols>
    <col collapsed="false" customWidth="true" hidden="false" outlineLevel="0" max="1" min="1" style="1" width="4.67"/>
    <col collapsed="false" customWidth="true" hidden="false" outlineLevel="0" max="2" min="2" style="1" width="11.33"/>
    <col collapsed="false" customWidth="true" hidden="false" outlineLevel="0" max="3" min="3" style="1" width="15.33"/>
    <col collapsed="false" customWidth="true" hidden="false" outlineLevel="0" max="4" min="4" style="1" width="23.56"/>
    <col collapsed="false" customWidth="true" hidden="false" outlineLevel="0" max="5" min="5" style="1" width="16.78"/>
    <col collapsed="false" customWidth="true" hidden="false" outlineLevel="0" max="6" min="6" style="1" width="8.33"/>
    <col collapsed="false" customWidth="true" hidden="false" outlineLevel="0" max="7" min="7" style="1" width="32.11"/>
    <col collapsed="false" customWidth="true" hidden="false" outlineLevel="0" max="8" min="8" style="1" width="44.78"/>
    <col collapsed="false" customWidth="true" hidden="false" outlineLevel="0" max="10" min="9" style="1" width="16.66"/>
    <col collapsed="false" customWidth="true" hidden="false" outlineLevel="0" max="11" min="11" style="1" width="14.33"/>
    <col collapsed="false" customWidth="true" hidden="false" outlineLevel="0" max="13" min="12" style="1" width="15.33"/>
    <col collapsed="false" customWidth="true" hidden="false" outlineLevel="0" max="14" min="14" style="1" width="12.66"/>
    <col collapsed="false" customWidth="true" hidden="false" outlineLevel="0" max="15" min="15" style="1" width="14.66"/>
    <col collapsed="false" customWidth="true" hidden="false" outlineLevel="0" max="16" min="16" style="1" width="13"/>
    <col collapsed="false" customWidth="true" hidden="false" outlineLevel="0" max="18" min="17" style="1" width="10.66"/>
    <col collapsed="false" customWidth="true" hidden="false" outlineLevel="0" max="19" min="19" style="1" width="24.56"/>
    <col collapsed="false" customWidth="true" hidden="false" outlineLevel="0" max="32" min="20" style="1" width="10.66"/>
  </cols>
  <sheetData>
    <row r="1" customFormat="false" ht="15" hidden="false" customHeight="false" outlineLevel="0" collapsed="false">
      <c r="N1" s="2" t="s">
        <v>0</v>
      </c>
      <c r="O1" s="3" t="n">
        <f aca="false">IF(Q5="PAYER",SUMIF(Q5:Q150,"PAYER",M5:M150))</f>
        <v>13946495.704</v>
      </c>
      <c r="P1" s="3"/>
    </row>
    <row r="2" customFormat="false" ht="15" hidden="false" customHeight="false" outlineLevel="0" collapsed="false">
      <c r="D2" s="4" t="s">
        <v>1</v>
      </c>
      <c r="N2" s="2" t="s">
        <v>2</v>
      </c>
      <c r="O2" s="3" t="n">
        <f aca="false">IF(Q6="A PAYER",SUMIF(Q6:Q145,"A PAYER",M6:M150))</f>
        <v>222293519</v>
      </c>
      <c r="P2" s="3"/>
    </row>
    <row r="3" customFormat="false" ht="15" hidden="false" customHeight="false" outlineLevel="0" collapsed="false">
      <c r="G3" s="5" t="n">
        <f aca="true">TODAY()</f>
        <v>46116</v>
      </c>
      <c r="N3" s="2" t="s">
        <v>3</v>
      </c>
      <c r="O3" s="6" t="n">
        <f aca="false">+SUM(O5:O150)</f>
        <v>432947382.054</v>
      </c>
      <c r="P3" s="6"/>
    </row>
    <row r="4" customFormat="false" ht="15" hidden="false" customHeight="false" outlineLevel="0" collapsed="false">
      <c r="A4" s="7" t="s">
        <v>4</v>
      </c>
      <c r="B4" s="8" t="s">
        <v>5</v>
      </c>
      <c r="C4" s="8" t="s">
        <v>6</v>
      </c>
      <c r="D4" s="8" t="s">
        <v>7</v>
      </c>
      <c r="E4" s="8" t="s">
        <v>8</v>
      </c>
      <c r="F4" s="8" t="s">
        <v>9</v>
      </c>
      <c r="G4" s="8" t="s">
        <v>10</v>
      </c>
      <c r="H4" s="9" t="s">
        <v>11</v>
      </c>
      <c r="I4" s="9" t="s">
        <v>12</v>
      </c>
      <c r="J4" s="9" t="s">
        <v>13</v>
      </c>
      <c r="K4" s="9" t="s">
        <v>14</v>
      </c>
      <c r="L4" s="8" t="s">
        <v>15</v>
      </c>
      <c r="M4" s="8" t="s">
        <v>16</v>
      </c>
      <c r="N4" s="8" t="s">
        <v>17</v>
      </c>
      <c r="O4" s="8" t="s">
        <v>18</v>
      </c>
      <c r="P4" s="8" t="s">
        <v>19</v>
      </c>
      <c r="Q4" s="8" t="s">
        <v>20</v>
      </c>
      <c r="R4" s="8" t="s">
        <v>21</v>
      </c>
      <c r="S4" s="10" t="s">
        <v>22</v>
      </c>
      <c r="T4" s="11"/>
    </row>
    <row r="5" customFormat="false" ht="28.35" hidden="false" customHeight="false" outlineLevel="0" collapsed="false">
      <c r="A5" s="12" t="n">
        <v>1</v>
      </c>
      <c r="B5" s="13"/>
      <c r="C5" s="14" t="s">
        <v>23</v>
      </c>
      <c r="D5" s="14"/>
      <c r="E5" s="14" t="s">
        <v>24</v>
      </c>
      <c r="F5" s="14" t="s">
        <v>25</v>
      </c>
      <c r="G5" s="14" t="s">
        <v>26</v>
      </c>
      <c r="H5" s="15" t="s">
        <v>27</v>
      </c>
      <c r="I5" s="15"/>
      <c r="J5" s="15"/>
      <c r="K5" s="15"/>
      <c r="L5" s="14"/>
      <c r="M5" s="16" t="n">
        <v>4950000</v>
      </c>
      <c r="N5" s="16"/>
      <c r="O5" s="16" t="n">
        <v>4950000</v>
      </c>
      <c r="P5" s="16"/>
      <c r="Q5" s="14" t="str">
        <f aca="false">IF(O5=M5,"PAYER","A PAYER")</f>
        <v>PAYER</v>
      </c>
      <c r="R5" s="14"/>
      <c r="S5" s="17"/>
      <c r="T5" s="11"/>
    </row>
    <row r="6" customFormat="false" ht="15" hidden="false" customHeight="false" outlineLevel="0" collapsed="false">
      <c r="A6" s="18" t="n">
        <v>2</v>
      </c>
      <c r="B6" s="13" t="n">
        <v>46000</v>
      </c>
      <c r="C6" s="19" t="s">
        <v>28</v>
      </c>
      <c r="D6" s="19" t="s">
        <v>29</v>
      </c>
      <c r="E6" s="19" t="s">
        <v>30</v>
      </c>
      <c r="F6" s="19" t="s">
        <v>31</v>
      </c>
      <c r="G6" s="19" t="s">
        <v>32</v>
      </c>
      <c r="H6" s="19" t="s">
        <v>33</v>
      </c>
      <c r="I6" s="19"/>
      <c r="J6" s="19"/>
      <c r="K6" s="19"/>
      <c r="L6" s="19"/>
      <c r="M6" s="20" t="n">
        <v>164000</v>
      </c>
      <c r="N6" s="20"/>
      <c r="O6" s="20"/>
      <c r="P6" s="20"/>
      <c r="Q6" s="19" t="str">
        <f aca="false">IF(O6=M6,"PAYER","A PAYER")</f>
        <v>A PAYER</v>
      </c>
      <c r="R6" s="19"/>
      <c r="S6" s="21"/>
      <c r="T6" s="11"/>
    </row>
    <row r="7" customFormat="false" ht="15" hidden="false" customHeight="false" outlineLevel="0" collapsed="false">
      <c r="A7" s="18" t="n">
        <v>3</v>
      </c>
      <c r="B7" s="13"/>
      <c r="C7" s="19" t="s">
        <v>28</v>
      </c>
      <c r="D7" s="19" t="s">
        <v>29</v>
      </c>
      <c r="E7" s="19" t="s">
        <v>30</v>
      </c>
      <c r="F7" s="19" t="s">
        <v>31</v>
      </c>
      <c r="G7" s="19" t="s">
        <v>34</v>
      </c>
      <c r="H7" s="19" t="s">
        <v>35</v>
      </c>
      <c r="I7" s="19"/>
      <c r="J7" s="19"/>
      <c r="K7" s="19"/>
      <c r="L7" s="19"/>
      <c r="M7" s="20"/>
      <c r="N7" s="20"/>
      <c r="O7" s="20"/>
      <c r="P7" s="20"/>
      <c r="Q7" s="19" t="str">
        <f aca="false">IF(O7=M7,"PAYER","A PAYER")</f>
        <v>PAYER</v>
      </c>
      <c r="R7" s="19"/>
      <c r="S7" s="21"/>
      <c r="T7" s="11"/>
    </row>
    <row r="8" customFormat="false" ht="15" hidden="false" customHeight="false" outlineLevel="0" collapsed="false">
      <c r="A8" s="18" t="n">
        <v>4</v>
      </c>
      <c r="B8" s="13"/>
      <c r="C8" s="19" t="s">
        <v>23</v>
      </c>
      <c r="D8" s="19" t="s">
        <v>36</v>
      </c>
      <c r="E8" s="19" t="s">
        <v>37</v>
      </c>
      <c r="F8" s="19" t="s">
        <v>38</v>
      </c>
      <c r="G8" s="19" t="s">
        <v>39</v>
      </c>
      <c r="H8" s="19" t="s">
        <v>40</v>
      </c>
      <c r="I8" s="19"/>
      <c r="J8" s="19"/>
      <c r="K8" s="19"/>
      <c r="L8" s="19"/>
      <c r="M8" s="20"/>
      <c r="N8" s="20"/>
      <c r="O8" s="20"/>
      <c r="P8" s="20"/>
      <c r="Q8" s="19" t="str">
        <f aca="false">IF(O8=M8,"PAYER","A PAYER")</f>
        <v>PAYER</v>
      </c>
      <c r="R8" s="19"/>
      <c r="S8" s="21"/>
      <c r="T8" s="11"/>
    </row>
    <row r="9" customFormat="false" ht="15" hidden="false" customHeight="false" outlineLevel="0" collapsed="false">
      <c r="A9" s="18" t="n">
        <v>5</v>
      </c>
      <c r="B9" s="13"/>
      <c r="C9" s="19" t="s">
        <v>23</v>
      </c>
      <c r="D9" s="19" t="s">
        <v>36</v>
      </c>
      <c r="E9" s="19" t="s">
        <v>37</v>
      </c>
      <c r="F9" s="19" t="s">
        <v>38</v>
      </c>
      <c r="G9" s="19" t="s">
        <v>41</v>
      </c>
      <c r="H9" s="19" t="s">
        <v>42</v>
      </c>
      <c r="I9" s="19"/>
      <c r="J9" s="19"/>
      <c r="K9" s="19"/>
      <c r="L9" s="19"/>
      <c r="M9" s="20" t="n">
        <v>1672000</v>
      </c>
      <c r="N9" s="20"/>
      <c r="O9" s="20"/>
      <c r="P9" s="20"/>
      <c r="Q9" s="19" t="str">
        <f aca="false">IF(O9=M9,"PAYER","A PAYER")</f>
        <v>A PAYER</v>
      </c>
      <c r="R9" s="19"/>
      <c r="S9" s="21"/>
      <c r="T9" s="11"/>
    </row>
    <row r="10" customFormat="false" ht="15" hidden="false" customHeight="false" outlineLevel="0" collapsed="false">
      <c r="A10" s="18" t="n">
        <v>6</v>
      </c>
      <c r="B10" s="13" t="n">
        <v>45972</v>
      </c>
      <c r="C10" s="19" t="s">
        <v>23</v>
      </c>
      <c r="D10" s="19" t="s">
        <v>43</v>
      </c>
      <c r="E10" s="19" t="s">
        <v>44</v>
      </c>
      <c r="F10" s="19" t="s">
        <v>38</v>
      </c>
      <c r="G10" s="19" t="s">
        <v>45</v>
      </c>
      <c r="H10" s="19" t="s">
        <v>46</v>
      </c>
      <c r="I10" s="19"/>
      <c r="J10" s="19"/>
      <c r="K10" s="19"/>
      <c r="L10" s="19" t="s">
        <v>47</v>
      </c>
      <c r="M10" s="20" t="n">
        <v>3331725</v>
      </c>
      <c r="N10" s="20"/>
      <c r="O10" s="20"/>
      <c r="P10" s="20"/>
      <c r="Q10" s="19" t="str">
        <f aca="false">IF(O10=M10,"PAYER","A PAYER")</f>
        <v>A PAYER</v>
      </c>
      <c r="R10" s="19"/>
      <c r="S10" s="21"/>
      <c r="T10" s="11"/>
    </row>
    <row r="11" customFormat="false" ht="28.35" hidden="false" customHeight="false" outlineLevel="0" collapsed="false">
      <c r="A11" s="18" t="n">
        <v>7</v>
      </c>
      <c r="B11" s="13" t="n">
        <v>45972</v>
      </c>
      <c r="C11" s="19" t="s">
        <v>28</v>
      </c>
      <c r="D11" s="19" t="s">
        <v>48</v>
      </c>
      <c r="E11" s="19" t="s">
        <v>44</v>
      </c>
      <c r="F11" s="19" t="s">
        <v>38</v>
      </c>
      <c r="G11" s="19" t="s">
        <v>45</v>
      </c>
      <c r="H11" s="22" t="s">
        <v>49</v>
      </c>
      <c r="I11" s="22"/>
      <c r="J11" s="22"/>
      <c r="K11" s="22"/>
      <c r="L11" s="19"/>
      <c r="M11" s="20"/>
      <c r="N11" s="20"/>
      <c r="O11" s="20" t="n">
        <v>1993492.16</v>
      </c>
      <c r="P11" s="20"/>
      <c r="Q11" s="19" t="str">
        <f aca="false">IF(O11=M11,"PAYER","A PAYER")</f>
        <v>A PAYER</v>
      </c>
      <c r="R11" s="19"/>
      <c r="S11" s="21"/>
      <c r="T11" s="11"/>
    </row>
    <row r="12" customFormat="false" ht="15" hidden="false" customHeight="false" outlineLevel="0" collapsed="false">
      <c r="A12" s="18" t="n">
        <v>8</v>
      </c>
      <c r="B12" s="13"/>
      <c r="C12" s="19" t="s">
        <v>28</v>
      </c>
      <c r="D12" s="19" t="s">
        <v>29</v>
      </c>
      <c r="E12" s="19" t="s">
        <v>30</v>
      </c>
      <c r="F12" s="19" t="s">
        <v>31</v>
      </c>
      <c r="G12" s="19" t="s">
        <v>50</v>
      </c>
      <c r="H12" s="19" t="s">
        <v>51</v>
      </c>
      <c r="I12" s="19"/>
      <c r="J12" s="19"/>
      <c r="K12" s="19"/>
      <c r="L12" s="19"/>
      <c r="M12" s="20"/>
      <c r="N12" s="20"/>
      <c r="O12" s="20" t="n">
        <v>525000</v>
      </c>
      <c r="P12" s="20"/>
      <c r="Q12" s="19" t="str">
        <f aca="false">IF(O12=M12,"PAYER","A PAYER")</f>
        <v>A PAYER</v>
      </c>
      <c r="R12" s="19"/>
      <c r="S12" s="21"/>
      <c r="T12" s="11"/>
    </row>
    <row r="13" customFormat="false" ht="15" hidden="false" customHeight="false" outlineLevel="0" collapsed="false">
      <c r="A13" s="18" t="n">
        <v>9</v>
      </c>
      <c r="B13" s="13"/>
      <c r="C13" s="19" t="s">
        <v>23</v>
      </c>
      <c r="D13" s="19" t="s">
        <v>52</v>
      </c>
      <c r="E13" s="19" t="s">
        <v>44</v>
      </c>
      <c r="F13" s="19" t="s">
        <v>31</v>
      </c>
      <c r="G13" s="19" t="s">
        <v>53</v>
      </c>
      <c r="H13" s="19" t="s">
        <v>54</v>
      </c>
      <c r="I13" s="19"/>
      <c r="J13" s="19"/>
      <c r="K13" s="19"/>
      <c r="L13" s="19"/>
      <c r="M13" s="20"/>
      <c r="N13" s="20"/>
      <c r="O13" s="20"/>
      <c r="P13" s="20"/>
      <c r="Q13" s="19" t="str">
        <f aca="false">IF(O13=M13,"PAYER","A PAYER")</f>
        <v>PAYER</v>
      </c>
      <c r="R13" s="19"/>
      <c r="S13" s="21"/>
      <c r="T13" s="11"/>
    </row>
    <row r="14" customFormat="false" ht="15" hidden="false" customHeight="false" outlineLevel="0" collapsed="false">
      <c r="A14" s="18" t="n">
        <v>12</v>
      </c>
      <c r="B14" s="13" t="n">
        <v>46007</v>
      </c>
      <c r="C14" s="19" t="s">
        <v>28</v>
      </c>
      <c r="D14" s="19" t="s">
        <v>55</v>
      </c>
      <c r="E14" s="19" t="s">
        <v>30</v>
      </c>
      <c r="F14" s="19" t="s">
        <v>31</v>
      </c>
      <c r="G14" s="19" t="s">
        <v>56</v>
      </c>
      <c r="H14" s="19" t="s">
        <v>57</v>
      </c>
      <c r="I14" s="19"/>
      <c r="J14" s="19"/>
      <c r="K14" s="19"/>
      <c r="L14" s="19" t="s">
        <v>58</v>
      </c>
      <c r="M14" s="20"/>
      <c r="N14" s="20"/>
      <c r="O14" s="20" t="n">
        <v>790000</v>
      </c>
      <c r="P14" s="20"/>
      <c r="Q14" s="19" t="str">
        <f aca="false">IF(O14=M14,"PAYER","A PAYER")</f>
        <v>A PAYER</v>
      </c>
      <c r="R14" s="19"/>
      <c r="S14" s="21"/>
      <c r="T14" s="11"/>
    </row>
    <row r="15" customFormat="false" ht="15" hidden="false" customHeight="false" outlineLevel="0" collapsed="false">
      <c r="A15" s="18" t="n">
        <v>20</v>
      </c>
      <c r="B15" s="13" t="n">
        <v>46021</v>
      </c>
      <c r="C15" s="23" t="s">
        <v>23</v>
      </c>
      <c r="D15" s="23" t="s">
        <v>59</v>
      </c>
      <c r="E15" s="19" t="s">
        <v>60</v>
      </c>
      <c r="F15" s="23" t="s">
        <v>38</v>
      </c>
      <c r="G15" s="23" t="s">
        <v>61</v>
      </c>
      <c r="H15" s="23" t="s">
        <v>62</v>
      </c>
      <c r="I15" s="19" t="s">
        <v>63</v>
      </c>
      <c r="J15" s="19"/>
      <c r="K15" s="19"/>
      <c r="L15" s="19"/>
      <c r="M15" s="20" t="n">
        <v>400000</v>
      </c>
      <c r="N15" s="19"/>
      <c r="O15" s="20"/>
      <c r="P15" s="20"/>
      <c r="Q15" s="19" t="str">
        <f aca="false">IF(O15=M15,"PAYER","A PAYER")</f>
        <v>A PAYER</v>
      </c>
      <c r="R15" s="19"/>
      <c r="S15" s="21"/>
      <c r="T15" s="11"/>
    </row>
    <row r="16" customFormat="false" ht="15" hidden="false" customHeight="false" outlineLevel="0" collapsed="false">
      <c r="A16" s="18" t="n">
        <v>21</v>
      </c>
      <c r="B16" s="13" t="n">
        <v>46020</v>
      </c>
      <c r="C16" s="23" t="s">
        <v>23</v>
      </c>
      <c r="D16" s="23" t="s">
        <v>59</v>
      </c>
      <c r="E16" s="19" t="s">
        <v>60</v>
      </c>
      <c r="F16" s="23" t="s">
        <v>38</v>
      </c>
      <c r="G16" s="23" t="s">
        <v>61</v>
      </c>
      <c r="H16" s="19"/>
      <c r="I16" s="19" t="s">
        <v>64</v>
      </c>
      <c r="J16" s="19"/>
      <c r="K16" s="19"/>
      <c r="L16" s="19"/>
      <c r="M16" s="20" t="n">
        <v>321250</v>
      </c>
      <c r="N16" s="19"/>
      <c r="O16" s="20"/>
      <c r="P16" s="20"/>
      <c r="Q16" s="19" t="str">
        <f aca="false">IF(O16=M16,"PAYER","A PAYER")</f>
        <v>A PAYER</v>
      </c>
      <c r="R16" s="19"/>
      <c r="S16" s="21"/>
      <c r="T16" s="11"/>
    </row>
    <row r="17" customFormat="false" ht="15" hidden="false" customHeight="false" outlineLevel="0" collapsed="false">
      <c r="A17" s="18" t="n">
        <v>22</v>
      </c>
      <c r="B17" s="13" t="n">
        <v>46020</v>
      </c>
      <c r="C17" s="23" t="s">
        <v>23</v>
      </c>
      <c r="D17" s="23" t="s">
        <v>59</v>
      </c>
      <c r="E17" s="19" t="s">
        <v>60</v>
      </c>
      <c r="F17" s="23" t="s">
        <v>38</v>
      </c>
      <c r="G17" s="23" t="s">
        <v>61</v>
      </c>
      <c r="H17" s="19"/>
      <c r="I17" s="19" t="s">
        <v>65</v>
      </c>
      <c r="J17" s="19"/>
      <c r="K17" s="19"/>
      <c r="L17" s="19"/>
      <c r="M17" s="20" t="n">
        <v>32000</v>
      </c>
      <c r="N17" s="19"/>
      <c r="O17" s="20"/>
      <c r="P17" s="20"/>
      <c r="Q17" s="19" t="str">
        <f aca="false">IF(O17=M17,"PAYER","A PAYER")</f>
        <v>A PAYER</v>
      </c>
      <c r="R17" s="19"/>
      <c r="S17" s="21"/>
      <c r="T17" s="11"/>
    </row>
    <row r="18" customFormat="false" ht="15" hidden="false" customHeight="false" outlineLevel="0" collapsed="false">
      <c r="A18" s="18" t="n">
        <v>23</v>
      </c>
      <c r="B18" s="13" t="n">
        <v>46020</v>
      </c>
      <c r="C18" s="23" t="s">
        <v>23</v>
      </c>
      <c r="D18" s="23" t="s">
        <v>59</v>
      </c>
      <c r="E18" s="19" t="s">
        <v>60</v>
      </c>
      <c r="F18" s="23" t="s">
        <v>38</v>
      </c>
      <c r="G18" s="23" t="s">
        <v>61</v>
      </c>
      <c r="H18" s="19"/>
      <c r="I18" s="19" t="s">
        <v>66</v>
      </c>
      <c r="J18" s="19"/>
      <c r="K18" s="19"/>
      <c r="L18" s="19"/>
      <c r="M18" s="20" t="n">
        <v>189250</v>
      </c>
      <c r="N18" s="19"/>
      <c r="O18" s="20"/>
      <c r="P18" s="20"/>
      <c r="Q18" s="19" t="str">
        <f aca="false">IF(O18=M18,"PAYER","A PAYER")</f>
        <v>A PAYER</v>
      </c>
      <c r="R18" s="19"/>
      <c r="S18" s="21"/>
      <c r="T18" s="11"/>
    </row>
    <row r="19" customFormat="false" ht="15" hidden="false" customHeight="false" outlineLevel="0" collapsed="false">
      <c r="A19" s="18" t="n">
        <v>24</v>
      </c>
      <c r="B19" s="24" t="n">
        <v>46021</v>
      </c>
      <c r="C19" s="23" t="s">
        <v>28</v>
      </c>
      <c r="D19" s="23" t="s">
        <v>67</v>
      </c>
      <c r="E19" s="19" t="s">
        <v>68</v>
      </c>
      <c r="F19" s="23" t="s">
        <v>38</v>
      </c>
      <c r="G19" s="23" t="s">
        <v>69</v>
      </c>
      <c r="H19" s="19" t="s">
        <v>70</v>
      </c>
      <c r="I19" s="19" t="s">
        <v>71</v>
      </c>
      <c r="J19" s="19"/>
      <c r="K19" s="19"/>
      <c r="L19" s="19"/>
      <c r="M19" s="20" t="n">
        <v>250000</v>
      </c>
      <c r="N19" s="19"/>
      <c r="O19" s="20"/>
      <c r="P19" s="20"/>
      <c r="Q19" s="19" t="str">
        <f aca="false">IF(O19=M19,"PAYER","A PAYER")</f>
        <v>A PAYER</v>
      </c>
      <c r="R19" s="19"/>
      <c r="S19" s="21"/>
      <c r="T19" s="11"/>
    </row>
    <row r="20" customFormat="false" ht="15" hidden="false" customHeight="false" outlineLevel="0" collapsed="false">
      <c r="A20" s="18" t="n">
        <v>25</v>
      </c>
      <c r="B20" s="13" t="n">
        <v>46021</v>
      </c>
      <c r="C20" s="23" t="s">
        <v>28</v>
      </c>
      <c r="D20" s="23" t="s">
        <v>29</v>
      </c>
      <c r="E20" s="19" t="s">
        <v>30</v>
      </c>
      <c r="F20" s="23" t="s">
        <v>38</v>
      </c>
      <c r="G20" s="23" t="s">
        <v>32</v>
      </c>
      <c r="H20" s="19" t="s">
        <v>72</v>
      </c>
      <c r="I20" s="19" t="s">
        <v>73</v>
      </c>
      <c r="J20" s="19"/>
      <c r="K20" s="19"/>
      <c r="L20" s="19"/>
      <c r="M20" s="20" t="n">
        <v>30500</v>
      </c>
      <c r="N20" s="19"/>
      <c r="O20" s="20"/>
      <c r="P20" s="20"/>
      <c r="Q20" s="19" t="str">
        <f aca="false">IF(O20=M20,"PAYER","A PAYER")</f>
        <v>A PAYER</v>
      </c>
      <c r="R20" s="19"/>
      <c r="S20" s="21"/>
      <c r="T20" s="11"/>
    </row>
    <row r="21" customFormat="false" ht="15.75" hidden="false" customHeight="true" outlineLevel="0" collapsed="false">
      <c r="A21" s="18" t="n">
        <v>26</v>
      </c>
      <c r="B21" s="13" t="n">
        <v>46018</v>
      </c>
      <c r="C21" s="23" t="s">
        <v>23</v>
      </c>
      <c r="D21" s="23" t="s">
        <v>74</v>
      </c>
      <c r="E21" s="19" t="s">
        <v>44</v>
      </c>
      <c r="F21" s="23" t="s">
        <v>31</v>
      </c>
      <c r="G21" s="23" t="s">
        <v>75</v>
      </c>
      <c r="H21" s="19" t="s">
        <v>76</v>
      </c>
      <c r="I21" s="19" t="s">
        <v>77</v>
      </c>
      <c r="J21" s="19"/>
      <c r="K21" s="19"/>
      <c r="L21" s="19"/>
      <c r="M21" s="20" t="n">
        <v>100000</v>
      </c>
      <c r="N21" s="19"/>
      <c r="O21" s="20"/>
      <c r="P21" s="20"/>
      <c r="Q21" s="19" t="str">
        <f aca="false">IF(O21=M21,"PAYER","A PAYER")</f>
        <v>A PAYER</v>
      </c>
      <c r="R21" s="19"/>
      <c r="S21" s="21"/>
      <c r="T21" s="11"/>
    </row>
    <row r="22" customFormat="false" ht="15.75" hidden="false" customHeight="true" outlineLevel="0" collapsed="false">
      <c r="A22" s="18" t="n">
        <v>27</v>
      </c>
      <c r="B22" s="13" t="n">
        <v>46022</v>
      </c>
      <c r="C22" s="23" t="s">
        <v>23</v>
      </c>
      <c r="D22" s="23" t="s">
        <v>78</v>
      </c>
      <c r="E22" s="19" t="s">
        <v>79</v>
      </c>
      <c r="F22" s="23" t="s">
        <v>38</v>
      </c>
      <c r="G22" s="23" t="s">
        <v>80</v>
      </c>
      <c r="H22" s="19" t="s">
        <v>81</v>
      </c>
      <c r="I22" s="19" t="s">
        <v>82</v>
      </c>
      <c r="J22" s="19"/>
      <c r="K22" s="19"/>
      <c r="L22" s="19"/>
      <c r="M22" s="20" t="n">
        <v>265000</v>
      </c>
      <c r="N22" s="19"/>
      <c r="O22" s="20"/>
      <c r="P22" s="20"/>
      <c r="Q22" s="19" t="str">
        <f aca="false">IF(O22=M22,"PAYER","A PAYER")</f>
        <v>A PAYER</v>
      </c>
      <c r="R22" s="19"/>
      <c r="S22" s="21"/>
      <c r="T22" s="11"/>
    </row>
    <row r="23" customFormat="false" ht="15.75" hidden="false" customHeight="true" outlineLevel="0" collapsed="false">
      <c r="A23" s="18" t="n">
        <v>28</v>
      </c>
      <c r="B23" s="13" t="n">
        <v>46028</v>
      </c>
      <c r="C23" s="23" t="s">
        <v>23</v>
      </c>
      <c r="D23" s="23" t="s">
        <v>83</v>
      </c>
      <c r="E23" s="19" t="s">
        <v>30</v>
      </c>
      <c r="F23" s="23" t="s">
        <v>38</v>
      </c>
      <c r="G23" s="23" t="s">
        <v>84</v>
      </c>
      <c r="H23" s="19" t="s">
        <v>85</v>
      </c>
      <c r="I23" s="19" t="s">
        <v>86</v>
      </c>
      <c r="J23" s="19"/>
      <c r="K23" s="19"/>
      <c r="L23" s="19"/>
      <c r="M23" s="20" t="n">
        <v>94500</v>
      </c>
      <c r="N23" s="19"/>
      <c r="O23" s="20"/>
      <c r="P23" s="20"/>
      <c r="Q23" s="19" t="str">
        <f aca="false">IF(O23=M23,"PAYER","A PAYER")</f>
        <v>A PAYER</v>
      </c>
      <c r="R23" s="19"/>
      <c r="S23" s="21"/>
      <c r="T23" s="11"/>
    </row>
    <row r="24" customFormat="false" ht="15.75" hidden="false" customHeight="true" outlineLevel="0" collapsed="false">
      <c r="A24" s="18" t="n">
        <v>29</v>
      </c>
      <c r="B24" s="13" t="n">
        <v>46020</v>
      </c>
      <c r="C24" s="23" t="s">
        <v>23</v>
      </c>
      <c r="D24" s="23" t="s">
        <v>83</v>
      </c>
      <c r="E24" s="19" t="s">
        <v>30</v>
      </c>
      <c r="F24" s="23" t="s">
        <v>31</v>
      </c>
      <c r="G24" s="23" t="s">
        <v>61</v>
      </c>
      <c r="H24" s="19"/>
      <c r="I24" s="19" t="s">
        <v>87</v>
      </c>
      <c r="J24" s="19"/>
      <c r="K24" s="19"/>
      <c r="L24" s="19"/>
      <c r="M24" s="20" t="n">
        <v>280000</v>
      </c>
      <c r="N24" s="19"/>
      <c r="O24" s="20"/>
      <c r="P24" s="20"/>
      <c r="Q24" s="19" t="str">
        <f aca="false">IF(O24=M24,"PAYER","A PAYER")</f>
        <v>A PAYER</v>
      </c>
      <c r="R24" s="19"/>
      <c r="S24" s="21"/>
      <c r="T24" s="11"/>
    </row>
    <row r="25" customFormat="false" ht="15.75" hidden="false" customHeight="true" outlineLevel="0" collapsed="false">
      <c r="A25" s="18" t="n">
        <v>30</v>
      </c>
      <c r="B25" s="13" t="n">
        <v>46028</v>
      </c>
      <c r="C25" s="23" t="s">
        <v>23</v>
      </c>
      <c r="D25" s="23" t="s">
        <v>83</v>
      </c>
      <c r="E25" s="19" t="s">
        <v>30</v>
      </c>
      <c r="F25" s="23" t="s">
        <v>38</v>
      </c>
      <c r="G25" s="23" t="s">
        <v>84</v>
      </c>
      <c r="H25" s="19" t="s">
        <v>85</v>
      </c>
      <c r="I25" s="19" t="s">
        <v>88</v>
      </c>
      <c r="J25" s="19"/>
      <c r="K25" s="19"/>
      <c r="L25" s="19"/>
      <c r="M25" s="20" t="n">
        <v>758070</v>
      </c>
      <c r="N25" s="19"/>
      <c r="O25" s="20"/>
      <c r="P25" s="20"/>
      <c r="Q25" s="19" t="str">
        <f aca="false">IF(O25=M25,"PAYER","A PAYER")</f>
        <v>A PAYER</v>
      </c>
      <c r="R25" s="19"/>
      <c r="S25" s="21"/>
      <c r="T25" s="11"/>
    </row>
    <row r="26" customFormat="false" ht="15.75" hidden="false" customHeight="true" outlineLevel="0" collapsed="false">
      <c r="A26" s="18" t="n">
        <v>31</v>
      </c>
      <c r="B26" s="13" t="n">
        <v>46030</v>
      </c>
      <c r="C26" s="23" t="s">
        <v>23</v>
      </c>
      <c r="D26" s="23" t="s">
        <v>83</v>
      </c>
      <c r="E26" s="19" t="s">
        <v>30</v>
      </c>
      <c r="F26" s="23" t="s">
        <v>38</v>
      </c>
      <c r="G26" s="23" t="s">
        <v>89</v>
      </c>
      <c r="H26" s="19" t="s">
        <v>85</v>
      </c>
      <c r="I26" s="19" t="s">
        <v>90</v>
      </c>
      <c r="J26" s="19"/>
      <c r="K26" s="19"/>
      <c r="L26" s="19"/>
      <c r="M26" s="20" t="n">
        <v>150609</v>
      </c>
      <c r="N26" s="19"/>
      <c r="O26" s="20"/>
      <c r="P26" s="20"/>
      <c r="Q26" s="19" t="str">
        <f aca="false">IF(O26=M26,"PAYER","A PAYER")</f>
        <v>A PAYER</v>
      </c>
      <c r="R26" s="19"/>
      <c r="S26" s="21"/>
      <c r="T26" s="11"/>
    </row>
    <row r="27" customFormat="false" ht="15.75" hidden="false" customHeight="true" outlineLevel="0" collapsed="false">
      <c r="A27" s="18" t="n">
        <v>32</v>
      </c>
      <c r="B27" s="13" t="n">
        <v>46030</v>
      </c>
      <c r="C27" s="23" t="s">
        <v>23</v>
      </c>
      <c r="D27" s="23" t="s">
        <v>83</v>
      </c>
      <c r="E27" s="19" t="s">
        <v>30</v>
      </c>
      <c r="F27" s="23" t="s">
        <v>38</v>
      </c>
      <c r="G27" s="23" t="s">
        <v>91</v>
      </c>
      <c r="H27" s="19" t="s">
        <v>85</v>
      </c>
      <c r="I27" s="19" t="s">
        <v>92</v>
      </c>
      <c r="J27" s="19"/>
      <c r="K27" s="19"/>
      <c r="L27" s="19"/>
      <c r="M27" s="20" t="n">
        <v>70000</v>
      </c>
      <c r="N27" s="19"/>
      <c r="O27" s="20"/>
      <c r="P27" s="20"/>
      <c r="Q27" s="19" t="str">
        <f aca="false">IF(O27=M27,"PAYER","A PAYER")</f>
        <v>A PAYER</v>
      </c>
      <c r="R27" s="19"/>
      <c r="S27" s="21"/>
      <c r="T27" s="11"/>
    </row>
    <row r="28" customFormat="false" ht="15.75" hidden="false" customHeight="true" outlineLevel="0" collapsed="false">
      <c r="A28" s="18" t="n">
        <v>33</v>
      </c>
      <c r="B28" s="13" t="n">
        <v>46030</v>
      </c>
      <c r="C28" s="23" t="s">
        <v>28</v>
      </c>
      <c r="D28" s="23"/>
      <c r="E28" s="19"/>
      <c r="F28" s="23" t="s">
        <v>31</v>
      </c>
      <c r="G28" s="23" t="s">
        <v>93</v>
      </c>
      <c r="H28" s="19"/>
      <c r="I28" s="19" t="s">
        <v>94</v>
      </c>
      <c r="J28" s="19"/>
      <c r="K28" s="19"/>
      <c r="L28" s="19"/>
      <c r="M28" s="20" t="n">
        <v>185600</v>
      </c>
      <c r="N28" s="19"/>
      <c r="O28" s="20"/>
      <c r="P28" s="20"/>
      <c r="Q28" s="19" t="str">
        <f aca="false">IF(O28=M28,"PAYER","A PAYER")</f>
        <v>A PAYER</v>
      </c>
      <c r="R28" s="19"/>
      <c r="S28" s="21"/>
      <c r="T28" s="11"/>
    </row>
    <row r="29" customFormat="false" ht="15.75" hidden="false" customHeight="true" outlineLevel="0" collapsed="false">
      <c r="A29" s="18" t="n">
        <v>34</v>
      </c>
      <c r="B29" s="13" t="n">
        <v>46030</v>
      </c>
      <c r="C29" s="23" t="s">
        <v>23</v>
      </c>
      <c r="D29" s="23" t="s">
        <v>43</v>
      </c>
      <c r="E29" s="19" t="s">
        <v>44</v>
      </c>
      <c r="F29" s="23" t="s">
        <v>31</v>
      </c>
      <c r="G29" s="23" t="s">
        <v>95</v>
      </c>
      <c r="H29" s="19" t="s">
        <v>96</v>
      </c>
      <c r="I29" s="19" t="s">
        <v>97</v>
      </c>
      <c r="J29" s="19"/>
      <c r="K29" s="19"/>
      <c r="L29" s="19"/>
      <c r="M29" s="20" t="n">
        <v>32000</v>
      </c>
      <c r="N29" s="19"/>
      <c r="O29" s="20"/>
      <c r="P29" s="20"/>
      <c r="Q29" s="19" t="str">
        <f aca="false">IF(O29=M29,"PAYER","A PAYER")</f>
        <v>A PAYER</v>
      </c>
      <c r="R29" s="19"/>
      <c r="S29" s="21"/>
      <c r="T29" s="11"/>
    </row>
    <row r="30" customFormat="false" ht="15.75" hidden="false" customHeight="true" outlineLevel="0" collapsed="false">
      <c r="A30" s="18" t="n">
        <v>35</v>
      </c>
      <c r="B30" s="13" t="n">
        <v>46021</v>
      </c>
      <c r="C30" s="23" t="s">
        <v>28</v>
      </c>
      <c r="D30" s="23" t="s">
        <v>29</v>
      </c>
      <c r="E30" s="19" t="s">
        <v>30</v>
      </c>
      <c r="F30" s="23" t="s">
        <v>38</v>
      </c>
      <c r="G30" s="23" t="s">
        <v>98</v>
      </c>
      <c r="H30" s="19" t="s">
        <v>99</v>
      </c>
      <c r="I30" s="19" t="s">
        <v>100</v>
      </c>
      <c r="J30" s="19"/>
      <c r="K30" s="19"/>
      <c r="L30" s="19"/>
      <c r="M30" s="20" t="n">
        <v>23480</v>
      </c>
      <c r="N30" s="19"/>
      <c r="O30" s="20"/>
      <c r="P30" s="20"/>
      <c r="Q30" s="19" t="str">
        <f aca="false">IF(O30=M30,"PAYER","A PAYER")</f>
        <v>A PAYER</v>
      </c>
      <c r="R30" s="19"/>
      <c r="S30" s="21"/>
      <c r="T30" s="11"/>
    </row>
    <row r="31" customFormat="false" ht="15.75" hidden="false" customHeight="true" outlineLevel="0" collapsed="false">
      <c r="A31" s="18" t="n">
        <v>36</v>
      </c>
      <c r="B31" s="13" t="n">
        <v>46021</v>
      </c>
      <c r="C31" s="23" t="s">
        <v>28</v>
      </c>
      <c r="D31" s="23" t="s">
        <v>29</v>
      </c>
      <c r="E31" s="19" t="s">
        <v>30</v>
      </c>
      <c r="F31" s="23" t="s">
        <v>38</v>
      </c>
      <c r="G31" s="19"/>
      <c r="H31" s="19" t="s">
        <v>99</v>
      </c>
      <c r="I31" s="19" t="s">
        <v>101</v>
      </c>
      <c r="J31" s="19"/>
      <c r="K31" s="19"/>
      <c r="L31" s="19"/>
      <c r="M31" s="20" t="n">
        <v>20273</v>
      </c>
      <c r="N31" s="19"/>
      <c r="O31" s="20"/>
      <c r="P31" s="20"/>
      <c r="Q31" s="19" t="str">
        <f aca="false">IF(O31=M31,"PAYER","A PAYER")</f>
        <v>A PAYER</v>
      </c>
      <c r="R31" s="19"/>
      <c r="S31" s="21"/>
      <c r="T31" s="11"/>
    </row>
    <row r="32" customFormat="false" ht="15.75" hidden="false" customHeight="true" outlineLevel="0" collapsed="false">
      <c r="A32" s="18" t="n">
        <v>37</v>
      </c>
      <c r="B32" s="13" t="n">
        <v>46021</v>
      </c>
      <c r="C32" s="23" t="s">
        <v>28</v>
      </c>
      <c r="D32" s="23" t="s">
        <v>29</v>
      </c>
      <c r="E32" s="19" t="s">
        <v>30</v>
      </c>
      <c r="F32" s="23" t="s">
        <v>38</v>
      </c>
      <c r="G32" s="23" t="s">
        <v>32</v>
      </c>
      <c r="H32" s="19" t="s">
        <v>99</v>
      </c>
      <c r="I32" s="19" t="s">
        <v>102</v>
      </c>
      <c r="J32" s="19"/>
      <c r="K32" s="19"/>
      <c r="L32" s="19"/>
      <c r="M32" s="20" t="n">
        <v>451750</v>
      </c>
      <c r="N32" s="19"/>
      <c r="O32" s="20"/>
      <c r="P32" s="20"/>
      <c r="Q32" s="19" t="str">
        <f aca="false">IF(O32=M32,"PAYER","A PAYER")</f>
        <v>A PAYER</v>
      </c>
      <c r="R32" s="19"/>
      <c r="S32" s="21"/>
      <c r="T32" s="11"/>
    </row>
    <row r="33" customFormat="false" ht="15.75" hidden="false" customHeight="true" outlineLevel="0" collapsed="false">
      <c r="A33" s="18" t="n">
        <v>38</v>
      </c>
      <c r="B33" s="13" t="n">
        <v>46021</v>
      </c>
      <c r="C33" s="23" t="s">
        <v>28</v>
      </c>
      <c r="D33" s="23" t="s">
        <v>29</v>
      </c>
      <c r="E33" s="19" t="s">
        <v>30</v>
      </c>
      <c r="F33" s="23" t="s">
        <v>38</v>
      </c>
      <c r="G33" s="23" t="s">
        <v>103</v>
      </c>
      <c r="H33" s="19" t="s">
        <v>99</v>
      </c>
      <c r="I33" s="19" t="s">
        <v>104</v>
      </c>
      <c r="J33" s="19"/>
      <c r="K33" s="19"/>
      <c r="L33" s="19"/>
      <c r="M33" s="20" t="n">
        <v>38500</v>
      </c>
      <c r="N33" s="19"/>
      <c r="O33" s="20"/>
      <c r="P33" s="20"/>
      <c r="Q33" s="19" t="str">
        <f aca="false">IF(O33=M33,"PAYER","A PAYER")</f>
        <v>A PAYER</v>
      </c>
      <c r="R33" s="19"/>
      <c r="S33" s="21"/>
      <c r="T33" s="11"/>
    </row>
    <row r="34" customFormat="false" ht="15.75" hidden="false" customHeight="true" outlineLevel="0" collapsed="false">
      <c r="A34" s="18" t="n">
        <v>39</v>
      </c>
      <c r="B34" s="13" t="n">
        <v>46021</v>
      </c>
      <c r="C34" s="23" t="s">
        <v>28</v>
      </c>
      <c r="D34" s="23" t="s">
        <v>29</v>
      </c>
      <c r="E34" s="19" t="s">
        <v>30</v>
      </c>
      <c r="F34" s="23" t="s">
        <v>38</v>
      </c>
      <c r="G34" s="23" t="s">
        <v>105</v>
      </c>
      <c r="H34" s="19" t="s">
        <v>99</v>
      </c>
      <c r="I34" s="19" t="s">
        <v>106</v>
      </c>
      <c r="J34" s="19"/>
      <c r="K34" s="19"/>
      <c r="L34" s="19"/>
      <c r="M34" s="20" t="n">
        <v>80000</v>
      </c>
      <c r="N34" s="19"/>
      <c r="O34" s="20"/>
      <c r="P34" s="20"/>
      <c r="Q34" s="19" t="str">
        <f aca="false">IF(O34=M34,"PAYER","A PAYER")</f>
        <v>A PAYER</v>
      </c>
      <c r="R34" s="19"/>
      <c r="S34" s="21"/>
      <c r="T34" s="11"/>
    </row>
    <row r="35" customFormat="false" ht="15.75" hidden="false" customHeight="true" outlineLevel="0" collapsed="false">
      <c r="A35" s="18" t="n">
        <v>40</v>
      </c>
      <c r="B35" s="13" t="n">
        <v>46030</v>
      </c>
      <c r="C35" s="23" t="s">
        <v>28</v>
      </c>
      <c r="D35" s="23" t="s">
        <v>29</v>
      </c>
      <c r="E35" s="19" t="s">
        <v>30</v>
      </c>
      <c r="F35" s="23" t="s">
        <v>38</v>
      </c>
      <c r="G35" s="23" t="s">
        <v>32</v>
      </c>
      <c r="H35" s="19" t="s">
        <v>107</v>
      </c>
      <c r="I35" s="19" t="s">
        <v>108</v>
      </c>
      <c r="J35" s="19"/>
      <c r="K35" s="19"/>
      <c r="L35" s="19"/>
      <c r="M35" s="20" t="n">
        <v>1968000</v>
      </c>
      <c r="N35" s="19"/>
      <c r="O35" s="20"/>
      <c r="P35" s="20"/>
      <c r="Q35" s="19" t="str">
        <f aca="false">IF(O35=M35,"PAYER","A PAYER")</f>
        <v>A PAYER</v>
      </c>
      <c r="R35" s="19"/>
      <c r="S35" s="21"/>
      <c r="T35" s="11"/>
    </row>
    <row r="36" customFormat="false" ht="15.75" hidden="false" customHeight="true" outlineLevel="0" collapsed="false">
      <c r="A36" s="18" t="n">
        <v>42</v>
      </c>
      <c r="B36" s="13" t="n">
        <v>46037</v>
      </c>
      <c r="C36" s="19" t="s">
        <v>23</v>
      </c>
      <c r="D36" s="19" t="s">
        <v>74</v>
      </c>
      <c r="E36" s="19" t="s">
        <v>44</v>
      </c>
      <c r="F36" s="19" t="s">
        <v>31</v>
      </c>
      <c r="G36" s="19" t="s">
        <v>109</v>
      </c>
      <c r="H36" s="19" t="s">
        <v>110</v>
      </c>
      <c r="I36" s="19" t="s">
        <v>111</v>
      </c>
      <c r="J36" s="19"/>
      <c r="K36" s="19"/>
      <c r="L36" s="19"/>
      <c r="M36" s="25" t="n">
        <v>4200000</v>
      </c>
      <c r="N36" s="19"/>
      <c r="O36" s="26"/>
      <c r="P36" s="26"/>
      <c r="Q36" s="19" t="str">
        <f aca="false">IF(O36=M36,"PAYER","A PAYER")</f>
        <v>A PAYER</v>
      </c>
      <c r="R36" s="19"/>
      <c r="S36" s="21"/>
      <c r="T36" s="11"/>
    </row>
    <row r="37" customFormat="false" ht="15.75" hidden="false" customHeight="true" outlineLevel="0" collapsed="false">
      <c r="A37" s="18" t="n">
        <v>43</v>
      </c>
      <c r="B37" s="13" t="n">
        <v>45672</v>
      </c>
      <c r="C37" s="19" t="s">
        <v>23</v>
      </c>
      <c r="D37" s="19" t="s">
        <v>74</v>
      </c>
      <c r="E37" s="19" t="s">
        <v>44</v>
      </c>
      <c r="F37" s="19" t="s">
        <v>31</v>
      </c>
      <c r="G37" s="19" t="s">
        <v>112</v>
      </c>
      <c r="H37" s="19" t="s">
        <v>113</v>
      </c>
      <c r="I37" s="19" t="s">
        <v>114</v>
      </c>
      <c r="J37" s="19"/>
      <c r="K37" s="19"/>
      <c r="L37" s="19"/>
      <c r="M37" s="25" t="n">
        <v>5652450</v>
      </c>
      <c r="N37" s="19"/>
      <c r="O37" s="26"/>
      <c r="P37" s="26"/>
      <c r="Q37" s="19" t="str">
        <f aca="false">IF(O37=M37,"PAYER","A PAYER")</f>
        <v>A PAYER</v>
      </c>
      <c r="R37" s="19"/>
      <c r="S37" s="21"/>
      <c r="T37" s="11"/>
    </row>
    <row r="38" customFormat="false" ht="15.75" hidden="false" customHeight="true" outlineLevel="0" collapsed="false">
      <c r="A38" s="18" t="n">
        <v>44</v>
      </c>
      <c r="B38" s="13" t="n">
        <v>46035</v>
      </c>
      <c r="C38" s="19" t="s">
        <v>23</v>
      </c>
      <c r="D38" s="19" t="s">
        <v>74</v>
      </c>
      <c r="E38" s="19" t="s">
        <v>44</v>
      </c>
      <c r="F38" s="19" t="s">
        <v>31</v>
      </c>
      <c r="G38" s="19" t="s">
        <v>115</v>
      </c>
      <c r="H38" s="19" t="s">
        <v>116</v>
      </c>
      <c r="I38" s="19" t="s">
        <v>117</v>
      </c>
      <c r="J38" s="19"/>
      <c r="K38" s="19"/>
      <c r="L38" s="19"/>
      <c r="M38" s="27" t="n">
        <v>886946</v>
      </c>
      <c r="N38" s="19"/>
      <c r="O38" s="26"/>
      <c r="P38" s="26"/>
      <c r="Q38" s="19" t="str">
        <f aca="false">IF(O38=M38,"PAYER","A PAYER")</f>
        <v>A PAYER</v>
      </c>
      <c r="R38" s="19"/>
      <c r="S38" s="21"/>
      <c r="T38" s="11"/>
    </row>
    <row r="39" customFormat="false" ht="15.75" hidden="false" customHeight="true" outlineLevel="0" collapsed="false">
      <c r="A39" s="18" t="n">
        <v>45</v>
      </c>
      <c r="B39" s="13" t="n">
        <v>46036</v>
      </c>
      <c r="C39" s="19" t="s">
        <v>23</v>
      </c>
      <c r="D39" s="19" t="s">
        <v>74</v>
      </c>
      <c r="E39" s="19" t="s">
        <v>44</v>
      </c>
      <c r="F39" s="19" t="s">
        <v>31</v>
      </c>
      <c r="G39" s="19" t="s">
        <v>118</v>
      </c>
      <c r="H39" s="19" t="s">
        <v>119</v>
      </c>
      <c r="I39" s="19" t="s">
        <v>120</v>
      </c>
      <c r="J39" s="19"/>
      <c r="K39" s="19"/>
      <c r="L39" s="19"/>
      <c r="M39" s="25" t="n">
        <v>5402025</v>
      </c>
      <c r="N39" s="19"/>
      <c r="O39" s="26"/>
      <c r="P39" s="26"/>
      <c r="Q39" s="19" t="str">
        <f aca="false">IF(O39=M39,"PAYER","A PAYER")</f>
        <v>A PAYER</v>
      </c>
      <c r="R39" s="19"/>
      <c r="S39" s="21"/>
      <c r="T39" s="11"/>
    </row>
    <row r="40" customFormat="false" ht="15.75" hidden="false" customHeight="true" outlineLevel="0" collapsed="false">
      <c r="A40" s="18" t="n">
        <v>46</v>
      </c>
      <c r="B40" s="13" t="n">
        <v>45669</v>
      </c>
      <c r="C40" s="19" t="s">
        <v>23</v>
      </c>
      <c r="D40" s="19" t="s">
        <v>121</v>
      </c>
      <c r="E40" s="19" t="s">
        <v>24</v>
      </c>
      <c r="F40" s="19" t="s">
        <v>38</v>
      </c>
      <c r="G40" s="19" t="s">
        <v>122</v>
      </c>
      <c r="H40" s="19" t="s">
        <v>123</v>
      </c>
      <c r="I40" s="19" t="s">
        <v>124</v>
      </c>
      <c r="J40" s="19"/>
      <c r="K40" s="19"/>
      <c r="L40" s="19"/>
      <c r="M40" s="25" t="n">
        <v>160000</v>
      </c>
      <c r="N40" s="19"/>
      <c r="O40" s="26" t="n">
        <v>160000</v>
      </c>
      <c r="P40" s="26"/>
      <c r="Q40" s="19" t="str">
        <f aca="false">IF(O40=M40,"PAYER","A PAYER")</f>
        <v>PAYER</v>
      </c>
      <c r="R40" s="19"/>
      <c r="S40" s="21"/>
      <c r="T40" s="11"/>
    </row>
    <row r="41" customFormat="false" ht="15.75" hidden="false" customHeight="true" outlineLevel="0" collapsed="false">
      <c r="A41" s="18" t="n">
        <v>47</v>
      </c>
      <c r="B41" s="13" t="n">
        <v>46034</v>
      </c>
      <c r="C41" s="19" t="s">
        <v>23</v>
      </c>
      <c r="D41" s="19" t="s">
        <v>125</v>
      </c>
      <c r="E41" s="19" t="s">
        <v>44</v>
      </c>
      <c r="F41" s="19" t="s">
        <v>31</v>
      </c>
      <c r="G41" s="19" t="s">
        <v>126</v>
      </c>
      <c r="H41" s="19" t="s">
        <v>127</v>
      </c>
      <c r="I41" s="19" t="s">
        <v>128</v>
      </c>
      <c r="J41" s="19"/>
      <c r="K41" s="19"/>
      <c r="L41" s="19"/>
      <c r="M41" s="25" t="n">
        <v>260000</v>
      </c>
      <c r="N41" s="19"/>
      <c r="O41" s="26"/>
      <c r="P41" s="26"/>
      <c r="Q41" s="19" t="str">
        <f aca="false">IF(O41=M41,"PAYER","A PAYER")</f>
        <v>A PAYER</v>
      </c>
      <c r="R41" s="19"/>
      <c r="S41" s="21"/>
      <c r="T41" s="11"/>
    </row>
    <row r="42" customFormat="false" ht="15.75" hidden="false" customHeight="true" outlineLevel="0" collapsed="false">
      <c r="A42" s="18" t="n">
        <v>48</v>
      </c>
      <c r="B42" s="13" t="n">
        <v>46034</v>
      </c>
      <c r="C42" s="19" t="s">
        <v>23</v>
      </c>
      <c r="D42" s="19" t="s">
        <v>129</v>
      </c>
      <c r="E42" s="19" t="s">
        <v>44</v>
      </c>
      <c r="F42" s="19" t="s">
        <v>38</v>
      </c>
      <c r="G42" s="19" t="s">
        <v>130</v>
      </c>
      <c r="H42" s="19" t="s">
        <v>131</v>
      </c>
      <c r="I42" s="19" t="s">
        <v>132</v>
      </c>
      <c r="J42" s="19"/>
      <c r="K42" s="19"/>
      <c r="L42" s="19"/>
      <c r="M42" s="25" t="n">
        <v>3550000</v>
      </c>
      <c r="N42" s="19"/>
      <c r="O42" s="26"/>
      <c r="P42" s="26"/>
      <c r="Q42" s="19" t="str">
        <f aca="false">IF(O42=M42,"PAYER","A PAYER")</f>
        <v>A PAYER</v>
      </c>
      <c r="R42" s="19"/>
      <c r="S42" s="21"/>
      <c r="T42" s="11"/>
    </row>
    <row r="43" customFormat="false" ht="15.75" hidden="false" customHeight="true" outlineLevel="0" collapsed="false">
      <c r="A43" s="18" t="n">
        <v>49</v>
      </c>
      <c r="B43" s="13" t="n">
        <v>46034</v>
      </c>
      <c r="C43" s="19" t="s">
        <v>23</v>
      </c>
      <c r="D43" s="19" t="s">
        <v>133</v>
      </c>
      <c r="E43" s="19" t="s">
        <v>44</v>
      </c>
      <c r="F43" s="19" t="s">
        <v>31</v>
      </c>
      <c r="G43" s="19" t="s">
        <v>134</v>
      </c>
      <c r="H43" s="19" t="s">
        <v>135</v>
      </c>
      <c r="I43" s="19" t="s">
        <v>136</v>
      </c>
      <c r="J43" s="19"/>
      <c r="K43" s="19"/>
      <c r="L43" s="19"/>
      <c r="M43" s="25" t="n">
        <v>3398625</v>
      </c>
      <c r="N43" s="19"/>
      <c r="O43" s="26"/>
      <c r="P43" s="26"/>
      <c r="Q43" s="19" t="str">
        <f aca="false">IF(O43=M43,"PAYER","A PAYER")</f>
        <v>A PAYER</v>
      </c>
      <c r="R43" s="19"/>
      <c r="S43" s="21"/>
      <c r="T43" s="11"/>
    </row>
    <row r="44" customFormat="false" ht="15.75" hidden="false" customHeight="true" outlineLevel="0" collapsed="false">
      <c r="A44" s="18" t="n">
        <v>50</v>
      </c>
      <c r="B44" s="13" t="n">
        <v>46034</v>
      </c>
      <c r="C44" s="19" t="s">
        <v>23</v>
      </c>
      <c r="D44" s="19" t="s">
        <v>137</v>
      </c>
      <c r="E44" s="19" t="s">
        <v>44</v>
      </c>
      <c r="F44" s="19" t="s">
        <v>31</v>
      </c>
      <c r="G44" s="19" t="s">
        <v>138</v>
      </c>
      <c r="H44" s="19" t="s">
        <v>139</v>
      </c>
      <c r="I44" s="19" t="s">
        <v>140</v>
      </c>
      <c r="J44" s="19"/>
      <c r="K44" s="19"/>
      <c r="L44" s="19"/>
      <c r="M44" s="25" t="n">
        <v>2905000</v>
      </c>
      <c r="N44" s="19"/>
      <c r="O44" s="26"/>
      <c r="P44" s="26"/>
      <c r="Q44" s="19" t="str">
        <f aca="false">IF(O44=M44,"PAYER","A PAYER")</f>
        <v>A PAYER</v>
      </c>
      <c r="R44" s="19"/>
      <c r="S44" s="21"/>
      <c r="T44" s="11"/>
    </row>
    <row r="45" customFormat="false" ht="15.75" hidden="false" customHeight="true" outlineLevel="0" collapsed="false">
      <c r="A45" s="18" t="n">
        <v>51</v>
      </c>
      <c r="B45" s="13" t="n">
        <v>46032</v>
      </c>
      <c r="C45" s="19" t="s">
        <v>23</v>
      </c>
      <c r="D45" s="19" t="s">
        <v>141</v>
      </c>
      <c r="E45" s="19" t="s">
        <v>44</v>
      </c>
      <c r="F45" s="19" t="s">
        <v>31</v>
      </c>
      <c r="G45" s="19" t="s">
        <v>142</v>
      </c>
      <c r="H45" s="19" t="s">
        <v>143</v>
      </c>
      <c r="I45" s="19" t="s">
        <v>144</v>
      </c>
      <c r="J45" s="19"/>
      <c r="K45" s="19"/>
      <c r="L45" s="19"/>
      <c r="M45" s="25" t="n">
        <v>264360</v>
      </c>
      <c r="N45" s="19"/>
      <c r="O45" s="26"/>
      <c r="P45" s="26"/>
      <c r="Q45" s="19" t="str">
        <f aca="false">IF(O45=M45,"PAYER","A PAYER")</f>
        <v>A PAYER</v>
      </c>
      <c r="R45" s="19"/>
      <c r="S45" s="21"/>
      <c r="T45" s="11"/>
    </row>
    <row r="46" customFormat="false" ht="15.75" hidden="false" customHeight="true" outlineLevel="0" collapsed="false">
      <c r="A46" s="18" t="n">
        <v>52</v>
      </c>
      <c r="B46" s="13" t="n">
        <v>46032</v>
      </c>
      <c r="C46" s="19" t="s">
        <v>23</v>
      </c>
      <c r="D46" s="19" t="s">
        <v>141</v>
      </c>
      <c r="E46" s="19" t="s">
        <v>44</v>
      </c>
      <c r="F46" s="19" t="s">
        <v>31</v>
      </c>
      <c r="G46" s="19" t="s">
        <v>145</v>
      </c>
      <c r="H46" s="19" t="s">
        <v>146</v>
      </c>
      <c r="I46" s="19" t="s">
        <v>147</v>
      </c>
      <c r="J46" s="19"/>
      <c r="K46" s="19"/>
      <c r="L46" s="19"/>
      <c r="M46" s="25" t="n">
        <v>919997</v>
      </c>
      <c r="N46" s="19"/>
      <c r="O46" s="26"/>
      <c r="P46" s="26"/>
      <c r="Q46" s="19" t="str">
        <f aca="false">IF(O46=M46,"PAYER","A PAYER")</f>
        <v>A PAYER</v>
      </c>
      <c r="R46" s="19"/>
      <c r="S46" s="21"/>
      <c r="T46" s="11"/>
    </row>
    <row r="47" customFormat="false" ht="15.75" hidden="false" customHeight="true" outlineLevel="0" collapsed="false">
      <c r="A47" s="18" t="n">
        <v>53</v>
      </c>
      <c r="B47" s="13" t="n">
        <v>46032</v>
      </c>
      <c r="C47" s="19" t="s">
        <v>23</v>
      </c>
      <c r="D47" s="19" t="s">
        <v>141</v>
      </c>
      <c r="E47" s="19" t="s">
        <v>44</v>
      </c>
      <c r="F47" s="19" t="s">
        <v>31</v>
      </c>
      <c r="G47" s="19" t="s">
        <v>115</v>
      </c>
      <c r="H47" s="19" t="s">
        <v>148</v>
      </c>
      <c r="I47" s="19" t="s">
        <v>149</v>
      </c>
      <c r="J47" s="19"/>
      <c r="K47" s="19"/>
      <c r="L47" s="19"/>
      <c r="M47" s="25" t="n">
        <v>419927</v>
      </c>
      <c r="N47" s="19"/>
      <c r="O47" s="26"/>
      <c r="P47" s="26"/>
      <c r="Q47" s="19" t="str">
        <f aca="false">IF(O47=M47,"PAYER","A PAYER")</f>
        <v>A PAYER</v>
      </c>
      <c r="R47" s="19"/>
      <c r="S47" s="21"/>
      <c r="T47" s="11"/>
    </row>
    <row r="48" customFormat="false" ht="15.75" hidden="false" customHeight="true" outlineLevel="0" collapsed="false">
      <c r="A48" s="18" t="n">
        <v>54</v>
      </c>
      <c r="B48" s="13" t="n">
        <v>46041</v>
      </c>
      <c r="C48" s="19" t="s">
        <v>23</v>
      </c>
      <c r="D48" s="19" t="s">
        <v>150</v>
      </c>
      <c r="E48" s="19" t="s">
        <v>44</v>
      </c>
      <c r="F48" s="19" t="s">
        <v>31</v>
      </c>
      <c r="G48" s="19" t="s">
        <v>151</v>
      </c>
      <c r="H48" s="19" t="s">
        <v>152</v>
      </c>
      <c r="I48" s="19" t="s">
        <v>153</v>
      </c>
      <c r="J48" s="19"/>
      <c r="K48" s="19"/>
      <c r="L48" s="19"/>
      <c r="M48" s="25" t="n">
        <v>240000</v>
      </c>
      <c r="N48" s="19"/>
      <c r="O48" s="26"/>
      <c r="P48" s="26"/>
      <c r="Q48" s="19" t="str">
        <f aca="false">IF(O48=M48,"PAYER","A PAYER")</f>
        <v>A PAYER</v>
      </c>
      <c r="R48" s="19"/>
      <c r="S48" s="21"/>
      <c r="T48" s="11"/>
    </row>
    <row r="49" customFormat="false" ht="15.75" hidden="false" customHeight="true" outlineLevel="0" collapsed="false">
      <c r="A49" s="18" t="n">
        <v>55</v>
      </c>
      <c r="B49" s="13" t="n">
        <v>46041</v>
      </c>
      <c r="C49" s="19" t="s">
        <v>23</v>
      </c>
      <c r="E49" s="19"/>
      <c r="F49" s="19" t="s">
        <v>31</v>
      </c>
      <c r="G49" s="19" t="s">
        <v>109</v>
      </c>
      <c r="H49" s="19" t="s">
        <v>154</v>
      </c>
      <c r="I49" s="19" t="s">
        <v>155</v>
      </c>
      <c r="J49" s="19"/>
      <c r="K49" s="19"/>
      <c r="L49" s="19"/>
      <c r="M49" s="25" t="n">
        <v>600000</v>
      </c>
      <c r="N49" s="19"/>
      <c r="O49" s="26"/>
      <c r="P49" s="26"/>
      <c r="Q49" s="19" t="str">
        <f aca="false">IF(O49=M49,"PAYER","A PAYER")</f>
        <v>A PAYER</v>
      </c>
      <c r="R49" s="19"/>
      <c r="S49" s="21"/>
      <c r="T49" s="11"/>
    </row>
    <row r="50" customFormat="false" ht="15.75" hidden="false" customHeight="true" outlineLevel="0" collapsed="false">
      <c r="A50" s="18" t="n">
        <v>56</v>
      </c>
      <c r="B50" s="13" t="n">
        <v>46034</v>
      </c>
      <c r="C50" s="19" t="s">
        <v>23</v>
      </c>
      <c r="D50" s="19" t="s">
        <v>156</v>
      </c>
      <c r="E50" s="19" t="s">
        <v>30</v>
      </c>
      <c r="F50" s="19" t="s">
        <v>38</v>
      </c>
      <c r="G50" s="19" t="s">
        <v>157</v>
      </c>
      <c r="H50" s="19" t="s">
        <v>158</v>
      </c>
      <c r="I50" s="19" t="s">
        <v>159</v>
      </c>
      <c r="J50" s="19"/>
      <c r="K50" s="19"/>
      <c r="L50" s="19"/>
      <c r="M50" s="25" t="n">
        <v>922000</v>
      </c>
      <c r="N50" s="19"/>
      <c r="O50" s="26"/>
      <c r="P50" s="26"/>
      <c r="Q50" s="19" t="str">
        <f aca="false">IF(O50=M50,"PAYER","A PAYER")</f>
        <v>A PAYER</v>
      </c>
      <c r="R50" s="19"/>
      <c r="S50" s="21"/>
      <c r="T50" s="11"/>
    </row>
    <row r="51" customFormat="false" ht="15.75" hidden="false" customHeight="true" outlineLevel="0" collapsed="false">
      <c r="A51" s="18" t="n">
        <v>57</v>
      </c>
      <c r="B51" s="13" t="n">
        <v>46031</v>
      </c>
      <c r="C51" s="19" t="s">
        <v>28</v>
      </c>
      <c r="D51" s="19" t="s">
        <v>29</v>
      </c>
      <c r="E51" s="19" t="s">
        <v>30</v>
      </c>
      <c r="F51" s="19" t="s">
        <v>38</v>
      </c>
      <c r="G51" s="19" t="s">
        <v>160</v>
      </c>
      <c r="H51" s="19" t="s">
        <v>161</v>
      </c>
      <c r="I51" s="19" t="s">
        <v>162</v>
      </c>
      <c r="J51" s="19"/>
      <c r="K51" s="19"/>
      <c r="L51" s="19"/>
      <c r="M51" s="25" t="n">
        <v>176000</v>
      </c>
      <c r="N51" s="19"/>
      <c r="O51" s="26"/>
      <c r="P51" s="26"/>
      <c r="Q51" s="19" t="str">
        <f aca="false">IF(O51=M51,"PAYER","A PAYER")</f>
        <v>A PAYER</v>
      </c>
      <c r="R51" s="19"/>
      <c r="S51" s="21"/>
      <c r="T51" s="11"/>
    </row>
    <row r="52" customFormat="false" ht="15.75" hidden="false" customHeight="true" outlineLevel="0" collapsed="false">
      <c r="A52" s="18" t="n">
        <v>58</v>
      </c>
      <c r="B52" s="13" t="n">
        <v>46030</v>
      </c>
      <c r="C52" s="19" t="s">
        <v>28</v>
      </c>
      <c r="D52" s="19" t="s">
        <v>163</v>
      </c>
      <c r="E52" s="19" t="s">
        <v>68</v>
      </c>
      <c r="F52" s="19" t="s">
        <v>38</v>
      </c>
      <c r="G52" s="19" t="s">
        <v>164</v>
      </c>
      <c r="H52" s="19" t="s">
        <v>165</v>
      </c>
      <c r="I52" s="19" t="s">
        <v>166</v>
      </c>
      <c r="J52" s="19"/>
      <c r="K52" s="19"/>
      <c r="L52" s="19"/>
      <c r="M52" s="25" t="n">
        <v>360000</v>
      </c>
      <c r="N52" s="19"/>
      <c r="O52" s="26"/>
      <c r="P52" s="26"/>
      <c r="Q52" s="19" t="str">
        <f aca="false">IF(O52=M52,"PAYER","A PAYER")</f>
        <v>A PAYER</v>
      </c>
      <c r="R52" s="19"/>
      <c r="S52" s="21"/>
      <c r="T52" s="11"/>
    </row>
    <row r="53" customFormat="false" ht="15.75" hidden="false" customHeight="true" outlineLevel="0" collapsed="false">
      <c r="A53" s="18" t="n">
        <v>59</v>
      </c>
      <c r="B53" s="13" t="n">
        <v>46031</v>
      </c>
      <c r="C53" s="19" t="s">
        <v>28</v>
      </c>
      <c r="D53" s="19" t="s">
        <v>156</v>
      </c>
      <c r="E53" s="19" t="s">
        <v>30</v>
      </c>
      <c r="F53" s="19" t="s">
        <v>38</v>
      </c>
      <c r="G53" s="19" t="s">
        <v>157</v>
      </c>
      <c r="H53" s="19" t="s">
        <v>167</v>
      </c>
      <c r="I53" s="19" t="s">
        <v>168</v>
      </c>
      <c r="J53" s="19"/>
      <c r="K53" s="19"/>
      <c r="L53" s="19"/>
      <c r="M53" s="25" t="n">
        <v>1000000</v>
      </c>
      <c r="N53" s="19"/>
      <c r="O53" s="26"/>
      <c r="P53" s="26"/>
      <c r="Q53" s="19" t="str">
        <f aca="false">IF(O53=M53,"PAYER","A PAYER")</f>
        <v>A PAYER</v>
      </c>
      <c r="R53" s="19"/>
      <c r="S53" s="21"/>
      <c r="T53" s="11"/>
    </row>
    <row r="54" customFormat="false" ht="15.75" hidden="false" customHeight="true" outlineLevel="0" collapsed="false">
      <c r="A54" s="18" t="n">
        <v>60</v>
      </c>
      <c r="B54" s="13" t="n">
        <v>46031</v>
      </c>
      <c r="C54" s="19" t="s">
        <v>28</v>
      </c>
      <c r="D54" s="19" t="s">
        <v>163</v>
      </c>
      <c r="E54" s="19" t="s">
        <v>68</v>
      </c>
      <c r="F54" s="19" t="s">
        <v>38</v>
      </c>
      <c r="G54" s="19" t="s">
        <v>169</v>
      </c>
      <c r="H54" s="19" t="s">
        <v>170</v>
      </c>
      <c r="I54" s="19" t="s">
        <v>171</v>
      </c>
      <c r="J54" s="19"/>
      <c r="K54" s="19"/>
      <c r="L54" s="19"/>
      <c r="M54" s="25" t="n">
        <v>456000</v>
      </c>
      <c r="N54" s="19"/>
      <c r="O54" s="26"/>
      <c r="P54" s="26"/>
      <c r="Q54" s="19" t="str">
        <f aca="false">IF(O54=M54,"PAYER","A PAYER")</f>
        <v>A PAYER</v>
      </c>
      <c r="R54" s="19"/>
      <c r="S54" s="21"/>
      <c r="T54" s="11"/>
    </row>
    <row r="55" customFormat="false" ht="15.75" hidden="false" customHeight="true" outlineLevel="0" collapsed="false">
      <c r="A55" s="18" t="n">
        <v>61</v>
      </c>
      <c r="B55" s="13" t="n">
        <v>46043</v>
      </c>
      <c r="C55" s="19" t="s">
        <v>23</v>
      </c>
      <c r="E55" s="19"/>
      <c r="F55" s="19" t="s">
        <v>31</v>
      </c>
      <c r="G55" s="19" t="s">
        <v>172</v>
      </c>
      <c r="H55" s="19" t="s">
        <v>173</v>
      </c>
      <c r="I55" s="19" t="s">
        <v>174</v>
      </c>
      <c r="J55" s="19"/>
      <c r="K55" s="19"/>
      <c r="L55" s="19"/>
      <c r="M55" s="25" t="n">
        <v>2206000</v>
      </c>
      <c r="N55" s="19"/>
      <c r="O55" s="26"/>
      <c r="P55" s="26"/>
      <c r="Q55" s="19" t="str">
        <f aca="false">IF(O55=M55,"PAYER","A PAYER")</f>
        <v>A PAYER</v>
      </c>
      <c r="R55" s="19"/>
      <c r="S55" s="21"/>
      <c r="T55" s="11"/>
    </row>
    <row r="56" customFormat="false" ht="15.75" hidden="false" customHeight="true" outlineLevel="0" collapsed="false">
      <c r="A56" s="18" t="n">
        <v>63</v>
      </c>
      <c r="B56" s="19"/>
      <c r="C56" s="19" t="s">
        <v>23</v>
      </c>
      <c r="D56" s="19" t="s">
        <v>175</v>
      </c>
      <c r="E56" s="19" t="s">
        <v>44</v>
      </c>
      <c r="F56" s="19" t="s">
        <v>31</v>
      </c>
      <c r="G56" s="19" t="s">
        <v>176</v>
      </c>
      <c r="H56" s="19" t="s">
        <v>177</v>
      </c>
      <c r="I56" s="19" t="s">
        <v>178</v>
      </c>
      <c r="J56" s="19"/>
      <c r="K56" s="19"/>
      <c r="L56" s="19"/>
      <c r="M56" s="25" t="n">
        <v>49580000</v>
      </c>
      <c r="N56" s="19"/>
      <c r="O56" s="26"/>
      <c r="P56" s="26"/>
      <c r="Q56" s="19" t="str">
        <f aca="false">IF(O56=M56,"PAYER","A PAYER")</f>
        <v>A PAYER</v>
      </c>
      <c r="R56" s="19"/>
      <c r="S56" s="21"/>
      <c r="T56" s="11"/>
    </row>
    <row r="57" customFormat="false" ht="15.75" hidden="false" customHeight="true" outlineLevel="0" collapsed="false">
      <c r="A57" s="18" t="n">
        <v>64</v>
      </c>
      <c r="B57" s="19"/>
      <c r="C57" s="19" t="s">
        <v>23</v>
      </c>
      <c r="D57" s="19" t="s">
        <v>175</v>
      </c>
      <c r="E57" s="19" t="s">
        <v>44</v>
      </c>
      <c r="F57" s="19" t="s">
        <v>31</v>
      </c>
      <c r="G57" s="19" t="s">
        <v>179</v>
      </c>
      <c r="H57" s="19" t="s">
        <v>177</v>
      </c>
      <c r="I57" s="19" t="s">
        <v>180</v>
      </c>
      <c r="J57" s="19"/>
      <c r="K57" s="19"/>
      <c r="L57" s="19"/>
      <c r="M57" s="25" t="n">
        <v>26782120</v>
      </c>
      <c r="N57" s="19"/>
      <c r="O57" s="26"/>
      <c r="P57" s="26"/>
      <c r="Q57" s="19" t="str">
        <f aca="false">IF(O57=M57,"PAYER","A PAYER")</f>
        <v>A PAYER</v>
      </c>
      <c r="R57" s="19"/>
      <c r="S57" s="21"/>
      <c r="T57" s="11"/>
    </row>
    <row r="58" customFormat="false" ht="15.75" hidden="false" customHeight="true" outlineLevel="0" collapsed="false">
      <c r="A58" s="18" t="n">
        <v>65</v>
      </c>
      <c r="B58" s="19"/>
      <c r="C58" s="19" t="s">
        <v>23</v>
      </c>
      <c r="E58" s="19"/>
      <c r="F58" s="19" t="s">
        <v>31</v>
      </c>
      <c r="G58" s="19" t="s">
        <v>130</v>
      </c>
      <c r="H58" s="19" t="s">
        <v>181</v>
      </c>
      <c r="I58" s="19" t="s">
        <v>182</v>
      </c>
      <c r="J58" s="19"/>
      <c r="K58" s="19"/>
      <c r="L58" s="19"/>
      <c r="M58" s="25" t="n">
        <v>1100000</v>
      </c>
      <c r="N58" s="19"/>
      <c r="O58" s="26"/>
      <c r="P58" s="26"/>
      <c r="Q58" s="19" t="str">
        <f aca="false">IF(O58=M58,"PAYER","A PAYER")</f>
        <v>A PAYER</v>
      </c>
      <c r="R58" s="19"/>
      <c r="S58" s="21"/>
      <c r="T58" s="11"/>
    </row>
    <row r="59" customFormat="false" ht="15.75" hidden="false" customHeight="true" outlineLevel="0" collapsed="false">
      <c r="A59" s="18" t="n">
        <v>66</v>
      </c>
      <c r="B59" s="19"/>
      <c r="C59" s="19" t="s">
        <v>28</v>
      </c>
      <c r="D59" s="19" t="s">
        <v>29</v>
      </c>
      <c r="E59" s="19" t="s">
        <v>30</v>
      </c>
      <c r="F59" s="19" t="s">
        <v>38</v>
      </c>
      <c r="G59" s="19" t="s">
        <v>169</v>
      </c>
      <c r="H59" s="19" t="s">
        <v>183</v>
      </c>
      <c r="I59" s="19" t="s">
        <v>184</v>
      </c>
      <c r="J59" s="19"/>
      <c r="K59" s="19"/>
      <c r="L59" s="19"/>
      <c r="M59" s="25" t="n">
        <v>28000</v>
      </c>
      <c r="N59" s="19"/>
      <c r="O59" s="26"/>
      <c r="P59" s="26"/>
      <c r="Q59" s="19" t="str">
        <f aca="false">IF(O59=M59,"PAYER","A PAYER")</f>
        <v>A PAYER</v>
      </c>
      <c r="R59" s="19"/>
      <c r="S59" s="21"/>
      <c r="T59" s="11"/>
    </row>
    <row r="60" customFormat="false" ht="15.75" hidden="false" customHeight="true" outlineLevel="0" collapsed="false">
      <c r="A60" s="18" t="n">
        <v>67</v>
      </c>
      <c r="B60" s="19"/>
      <c r="C60" s="19" t="s">
        <v>28</v>
      </c>
      <c r="D60" s="19" t="s">
        <v>29</v>
      </c>
      <c r="E60" s="19" t="s">
        <v>30</v>
      </c>
      <c r="F60" s="19" t="s">
        <v>38</v>
      </c>
      <c r="G60" s="19" t="s">
        <v>164</v>
      </c>
      <c r="H60" s="19" t="s">
        <v>185</v>
      </c>
      <c r="I60" s="19" t="s">
        <v>186</v>
      </c>
      <c r="J60" s="19"/>
      <c r="K60" s="19"/>
      <c r="L60" s="19"/>
      <c r="M60" s="25" t="n">
        <v>7500</v>
      </c>
      <c r="N60" s="19"/>
      <c r="O60" s="26"/>
      <c r="P60" s="26"/>
      <c r="Q60" s="19" t="str">
        <f aca="false">IF(O60=M60,"PAYER","A PAYER")</f>
        <v>A PAYER</v>
      </c>
      <c r="R60" s="19"/>
      <c r="S60" s="21"/>
      <c r="T60" s="11"/>
    </row>
    <row r="61" customFormat="false" ht="15.75" hidden="false" customHeight="true" outlineLevel="0" collapsed="false">
      <c r="A61" s="18" t="n">
        <v>68</v>
      </c>
      <c r="B61" s="19"/>
      <c r="C61" s="19" t="s">
        <v>28</v>
      </c>
      <c r="D61" s="19" t="s">
        <v>29</v>
      </c>
      <c r="E61" s="19" t="s">
        <v>30</v>
      </c>
      <c r="F61" s="19" t="s">
        <v>38</v>
      </c>
      <c r="G61" s="19" t="s">
        <v>164</v>
      </c>
      <c r="H61" s="19" t="s">
        <v>187</v>
      </c>
      <c r="I61" s="19" t="s">
        <v>188</v>
      </c>
      <c r="J61" s="19"/>
      <c r="K61" s="19"/>
      <c r="L61" s="19"/>
      <c r="M61" s="25" t="n">
        <v>95000</v>
      </c>
      <c r="N61" s="19"/>
      <c r="O61" s="26"/>
      <c r="P61" s="26"/>
      <c r="Q61" s="19" t="str">
        <f aca="false">IF(O61=M61,"PAYER","A PAYER")</f>
        <v>A PAYER</v>
      </c>
      <c r="R61" s="19"/>
      <c r="S61" s="21"/>
      <c r="T61" s="11"/>
    </row>
    <row r="62" customFormat="false" ht="15.75" hidden="false" customHeight="true" outlineLevel="0" collapsed="false">
      <c r="A62" s="18" t="n">
        <v>69</v>
      </c>
      <c r="B62" s="19"/>
      <c r="C62" s="19" t="s">
        <v>28</v>
      </c>
      <c r="D62" s="19" t="s">
        <v>29</v>
      </c>
      <c r="E62" s="19" t="s">
        <v>30</v>
      </c>
      <c r="F62" s="19" t="s">
        <v>38</v>
      </c>
      <c r="G62" s="19" t="s">
        <v>160</v>
      </c>
      <c r="H62" s="19" t="s">
        <v>189</v>
      </c>
      <c r="I62" s="19" t="s">
        <v>190</v>
      </c>
      <c r="J62" s="19"/>
      <c r="K62" s="19"/>
      <c r="L62" s="19"/>
      <c r="M62" s="25" t="n">
        <v>85000</v>
      </c>
      <c r="N62" s="19"/>
      <c r="O62" s="26"/>
      <c r="P62" s="26"/>
      <c r="Q62" s="19" t="str">
        <f aca="false">IF(O62=M62,"PAYER","A PAYER")</f>
        <v>A PAYER</v>
      </c>
      <c r="R62" s="19"/>
      <c r="S62" s="21"/>
      <c r="T62" s="11"/>
    </row>
    <row r="63" customFormat="false" ht="15.75" hidden="false" customHeight="true" outlineLevel="0" collapsed="false">
      <c r="A63" s="18" t="n">
        <v>70</v>
      </c>
      <c r="B63" s="13" t="n">
        <v>46021</v>
      </c>
      <c r="C63" s="19" t="s">
        <v>28</v>
      </c>
      <c r="D63" s="19" t="s">
        <v>29</v>
      </c>
      <c r="E63" s="19" t="s">
        <v>30</v>
      </c>
      <c r="F63" s="19" t="s">
        <v>38</v>
      </c>
      <c r="G63" s="19" t="s">
        <v>169</v>
      </c>
      <c r="H63" s="19" t="s">
        <v>183</v>
      </c>
      <c r="I63" s="19" t="s">
        <v>191</v>
      </c>
      <c r="J63" s="19"/>
      <c r="K63" s="19"/>
      <c r="L63" s="19"/>
      <c r="M63" s="25" t="n">
        <v>30500</v>
      </c>
      <c r="N63" s="19"/>
      <c r="O63" s="26"/>
      <c r="P63" s="26"/>
      <c r="Q63" s="19" t="str">
        <f aca="false">IF(O63=M63,"PAYER","A PAYER")</f>
        <v>A PAYER</v>
      </c>
      <c r="R63" s="19"/>
      <c r="S63" s="21"/>
      <c r="T63" s="11"/>
    </row>
    <row r="64" customFormat="false" ht="15.75" hidden="false" customHeight="true" outlineLevel="0" collapsed="false">
      <c r="A64" s="18" t="n">
        <v>71</v>
      </c>
      <c r="B64" s="13" t="n">
        <v>46036</v>
      </c>
      <c r="C64" s="19" t="s">
        <v>28</v>
      </c>
      <c r="D64" s="19" t="s">
        <v>29</v>
      </c>
      <c r="E64" s="19" t="s">
        <v>30</v>
      </c>
      <c r="F64" s="19" t="s">
        <v>38</v>
      </c>
      <c r="G64" s="19" t="s">
        <v>164</v>
      </c>
      <c r="H64" s="19" t="s">
        <v>192</v>
      </c>
      <c r="I64" s="19" t="s">
        <v>193</v>
      </c>
      <c r="J64" s="19"/>
      <c r="K64" s="19"/>
      <c r="L64" s="19"/>
      <c r="M64" s="25" t="n">
        <v>83000</v>
      </c>
      <c r="N64" s="19"/>
      <c r="O64" s="26"/>
      <c r="P64" s="26"/>
      <c r="Q64" s="19" t="str">
        <f aca="false">IF(O64=M64,"PAYER","A PAYER")</f>
        <v>A PAYER</v>
      </c>
      <c r="R64" s="19"/>
      <c r="S64" s="21"/>
      <c r="T64" s="11"/>
    </row>
    <row r="65" customFormat="false" ht="15.75" hidden="false" customHeight="true" outlineLevel="0" collapsed="false">
      <c r="A65" s="18" t="n">
        <v>72</v>
      </c>
      <c r="B65" s="13" t="n">
        <v>46036</v>
      </c>
      <c r="C65" s="19" t="s">
        <v>28</v>
      </c>
      <c r="D65" s="19" t="s">
        <v>29</v>
      </c>
      <c r="E65" s="19" t="s">
        <v>30</v>
      </c>
      <c r="F65" s="19" t="s">
        <v>38</v>
      </c>
      <c r="G65" s="19" t="s">
        <v>194</v>
      </c>
      <c r="H65" s="19" t="s">
        <v>195</v>
      </c>
      <c r="I65" s="19" t="s">
        <v>196</v>
      </c>
      <c r="J65" s="19"/>
      <c r="K65" s="19"/>
      <c r="L65" s="19"/>
      <c r="M65" s="25" t="n">
        <v>130000</v>
      </c>
      <c r="N65" s="19"/>
      <c r="O65" s="26"/>
      <c r="P65" s="26"/>
      <c r="Q65" s="19" t="str">
        <f aca="false">IF(O65=M65,"PAYER","A PAYER")</f>
        <v>A PAYER</v>
      </c>
      <c r="R65" s="19"/>
      <c r="S65" s="21"/>
      <c r="T65" s="11"/>
    </row>
    <row r="66" customFormat="false" ht="15.75" hidden="false" customHeight="true" outlineLevel="0" collapsed="false">
      <c r="A66" s="18" t="n">
        <v>73</v>
      </c>
      <c r="B66" s="13" t="n">
        <v>46048</v>
      </c>
      <c r="C66" s="19" t="s">
        <v>23</v>
      </c>
      <c r="D66" s="19" t="s">
        <v>43</v>
      </c>
      <c r="E66" s="19" t="s">
        <v>44</v>
      </c>
      <c r="F66" s="19" t="s">
        <v>31</v>
      </c>
      <c r="G66" s="19" t="s">
        <v>197</v>
      </c>
      <c r="H66" s="19" t="s">
        <v>198</v>
      </c>
      <c r="I66" s="19" t="s">
        <v>199</v>
      </c>
      <c r="J66" s="19"/>
      <c r="K66" s="19"/>
      <c r="L66" s="19"/>
      <c r="M66" s="28" t="n">
        <v>4010000</v>
      </c>
      <c r="N66" s="19"/>
      <c r="O66" s="26"/>
      <c r="P66" s="26"/>
      <c r="Q66" s="19" t="str">
        <f aca="false">IF(O66=M66,"PAYER","A PAYER")</f>
        <v>A PAYER</v>
      </c>
      <c r="R66" s="19"/>
      <c r="S66" s="21"/>
      <c r="T66" s="11"/>
    </row>
    <row r="67" customFormat="false" ht="15.75" hidden="false" customHeight="true" outlineLevel="0" collapsed="false">
      <c r="A67" s="18" t="n">
        <v>74</v>
      </c>
      <c r="B67" s="13" t="n">
        <v>46048</v>
      </c>
      <c r="C67" s="19" t="s">
        <v>23</v>
      </c>
      <c r="D67" s="19" t="s">
        <v>200</v>
      </c>
      <c r="E67" s="19" t="s">
        <v>44</v>
      </c>
      <c r="F67" s="19" t="s">
        <v>31</v>
      </c>
      <c r="G67" s="19" t="s">
        <v>201</v>
      </c>
      <c r="H67" s="19" t="s">
        <v>202</v>
      </c>
      <c r="I67" s="19" t="s">
        <v>203</v>
      </c>
      <c r="J67" s="19"/>
      <c r="K67" s="19"/>
      <c r="L67" s="19"/>
      <c r="M67" s="28" t="n">
        <v>1350000</v>
      </c>
      <c r="N67" s="19"/>
      <c r="O67" s="26"/>
      <c r="P67" s="26"/>
      <c r="Q67" s="19" t="str">
        <f aca="false">IF(O67=M67,"PAYER","A PAYER")</f>
        <v>A PAYER</v>
      </c>
      <c r="R67" s="19"/>
      <c r="S67" s="21"/>
      <c r="T67" s="11"/>
    </row>
    <row r="68" customFormat="false" ht="15.75" hidden="false" customHeight="true" outlineLevel="0" collapsed="false">
      <c r="A68" s="18" t="n">
        <v>75</v>
      </c>
      <c r="B68" s="13" t="n">
        <v>46042</v>
      </c>
      <c r="C68" s="19" t="s">
        <v>23</v>
      </c>
      <c r="D68" s="19" t="s">
        <v>74</v>
      </c>
      <c r="E68" s="19" t="s">
        <v>44</v>
      </c>
      <c r="F68" s="19" t="s">
        <v>31</v>
      </c>
      <c r="G68" s="19" t="s">
        <v>204</v>
      </c>
      <c r="H68" s="19" t="s">
        <v>205</v>
      </c>
      <c r="I68" s="19" t="s">
        <v>206</v>
      </c>
      <c r="J68" s="19"/>
      <c r="K68" s="19"/>
      <c r="L68" s="19"/>
      <c r="M68" s="28" t="n">
        <v>2785000</v>
      </c>
      <c r="N68" s="19"/>
      <c r="O68" s="26"/>
      <c r="P68" s="26"/>
      <c r="Q68" s="19" t="str">
        <f aca="false">IF(O68=M68,"PAYER","A PAYER")</f>
        <v>A PAYER</v>
      </c>
      <c r="R68" s="19"/>
      <c r="S68" s="21"/>
      <c r="T68" s="11"/>
    </row>
    <row r="69" customFormat="false" ht="15.75" hidden="false" customHeight="true" outlineLevel="0" collapsed="false">
      <c r="A69" s="18" t="n">
        <v>76</v>
      </c>
      <c r="B69" s="13" t="n">
        <v>46018</v>
      </c>
      <c r="C69" s="19" t="s">
        <v>23</v>
      </c>
      <c r="D69" s="19" t="s">
        <v>200</v>
      </c>
      <c r="E69" s="19" t="s">
        <v>44</v>
      </c>
      <c r="F69" s="19" t="s">
        <v>31</v>
      </c>
      <c r="G69" s="19" t="s">
        <v>207</v>
      </c>
      <c r="H69" s="19" t="s">
        <v>208</v>
      </c>
      <c r="I69" s="19" t="s">
        <v>209</v>
      </c>
      <c r="J69" s="19"/>
      <c r="K69" s="19"/>
      <c r="L69" s="19"/>
      <c r="M69" s="28" t="n">
        <v>4000000</v>
      </c>
      <c r="N69" s="29" t="n">
        <v>0.8</v>
      </c>
      <c r="O69" s="26"/>
      <c r="P69" s="26"/>
      <c r="Q69" s="19" t="str">
        <f aca="false">IF(O69=M69,"PAYER","A PAYER")</f>
        <v>A PAYER</v>
      </c>
      <c r="R69" s="19"/>
      <c r="S69" s="21"/>
      <c r="T69" s="11"/>
    </row>
    <row r="70" customFormat="false" ht="15.75" hidden="false" customHeight="true" outlineLevel="0" collapsed="false">
      <c r="A70" s="18" t="n">
        <v>77</v>
      </c>
      <c r="B70" s="13" t="n">
        <v>46037</v>
      </c>
      <c r="C70" s="19" t="s">
        <v>28</v>
      </c>
      <c r="D70" s="19" t="s">
        <v>210</v>
      </c>
      <c r="E70" s="19" t="s">
        <v>30</v>
      </c>
      <c r="F70" s="19" t="s">
        <v>31</v>
      </c>
      <c r="G70" s="19" t="s">
        <v>211</v>
      </c>
      <c r="H70" s="19" t="s">
        <v>212</v>
      </c>
      <c r="I70" s="19" t="s">
        <v>213</v>
      </c>
      <c r="J70" s="19"/>
      <c r="K70" s="19"/>
      <c r="L70" s="19"/>
      <c r="M70" s="28" t="n">
        <v>296933</v>
      </c>
      <c r="N70" s="19"/>
      <c r="O70" s="26"/>
      <c r="P70" s="26"/>
      <c r="Q70" s="19" t="str">
        <f aca="false">IF(O70=M70,"PAYER","A PAYER")</f>
        <v>A PAYER</v>
      </c>
      <c r="R70" s="19"/>
      <c r="S70" s="21"/>
      <c r="T70" s="11"/>
    </row>
    <row r="71" customFormat="false" ht="15.75" hidden="false" customHeight="true" outlineLevel="0" collapsed="false">
      <c r="A71" s="18" t="n">
        <v>78</v>
      </c>
      <c r="B71" s="13" t="n">
        <v>46014</v>
      </c>
      <c r="C71" s="19" t="s">
        <v>23</v>
      </c>
      <c r="D71" s="19" t="s">
        <v>200</v>
      </c>
      <c r="E71" s="19" t="s">
        <v>44</v>
      </c>
      <c r="F71" s="19" t="s">
        <v>31</v>
      </c>
      <c r="G71" s="19" t="s">
        <v>214</v>
      </c>
      <c r="H71" s="19" t="s">
        <v>215</v>
      </c>
      <c r="I71" s="19" t="s">
        <v>216</v>
      </c>
      <c r="J71" s="19"/>
      <c r="K71" s="19"/>
      <c r="L71" s="19"/>
      <c r="M71" s="28" t="n">
        <v>5962500</v>
      </c>
      <c r="N71" s="19"/>
      <c r="O71" s="20" t="s">
        <v>217</v>
      </c>
      <c r="P71" s="20"/>
      <c r="Q71" s="19" t="str">
        <f aca="false">IF(O71=M71,"PAYER","A PAYER")</f>
        <v>A PAYER</v>
      </c>
      <c r="R71" s="19"/>
      <c r="S71" s="21"/>
      <c r="T71" s="11"/>
    </row>
    <row r="72" customFormat="false" ht="15.75" hidden="false" customHeight="true" outlineLevel="0" collapsed="false">
      <c r="A72" s="18" t="n">
        <v>79</v>
      </c>
      <c r="B72" s="13" t="n">
        <v>46022</v>
      </c>
      <c r="C72" s="19" t="s">
        <v>23</v>
      </c>
      <c r="D72" s="19" t="s">
        <v>200</v>
      </c>
      <c r="E72" s="19" t="s">
        <v>44</v>
      </c>
      <c r="F72" s="19" t="s">
        <v>31</v>
      </c>
      <c r="G72" s="19" t="s">
        <v>130</v>
      </c>
      <c r="H72" s="19" t="s">
        <v>218</v>
      </c>
      <c r="I72" s="19" t="s">
        <v>219</v>
      </c>
      <c r="J72" s="19"/>
      <c r="K72" s="19"/>
      <c r="L72" s="19"/>
      <c r="M72" s="28" t="n">
        <v>2900000</v>
      </c>
      <c r="N72" s="19"/>
      <c r="O72" s="19"/>
      <c r="P72" s="19"/>
      <c r="Q72" s="19" t="str">
        <f aca="false">IF(O72=M72,"PAYER","A PAYER")</f>
        <v>A PAYER</v>
      </c>
      <c r="R72" s="19"/>
      <c r="S72" s="21"/>
      <c r="T72" s="11"/>
    </row>
    <row r="73" customFormat="false" ht="15.75" hidden="false" customHeight="true" outlineLevel="0" collapsed="false">
      <c r="A73" s="18" t="n">
        <v>80</v>
      </c>
      <c r="B73" s="13" t="n">
        <v>46037</v>
      </c>
      <c r="C73" s="19" t="s">
        <v>23</v>
      </c>
      <c r="D73" s="19" t="s">
        <v>74</v>
      </c>
      <c r="E73" s="19" t="s">
        <v>44</v>
      </c>
      <c r="F73" s="19" t="s">
        <v>31</v>
      </c>
      <c r="G73" s="19" t="s">
        <v>220</v>
      </c>
      <c r="H73" s="19" t="s">
        <v>221</v>
      </c>
      <c r="I73" s="19" t="s">
        <v>222</v>
      </c>
      <c r="J73" s="19"/>
      <c r="K73" s="19"/>
      <c r="L73" s="19"/>
      <c r="M73" s="28" t="n">
        <v>254625</v>
      </c>
      <c r="N73" s="19"/>
      <c r="O73" s="19" t="s">
        <v>217</v>
      </c>
      <c r="P73" s="19"/>
      <c r="Q73" s="19" t="str">
        <f aca="false">IF(O73=M73,"PAYER","A PAYER")</f>
        <v>A PAYER</v>
      </c>
      <c r="R73" s="19"/>
      <c r="S73" s="21" t="s">
        <v>223</v>
      </c>
      <c r="T73" s="11"/>
    </row>
    <row r="74" customFormat="false" ht="15.75" hidden="false" customHeight="true" outlineLevel="0" collapsed="false">
      <c r="A74" s="18" t="n">
        <v>81</v>
      </c>
      <c r="B74" s="13" t="n">
        <v>46001</v>
      </c>
      <c r="C74" s="19" t="s">
        <v>28</v>
      </c>
      <c r="D74" s="19" t="s">
        <v>224</v>
      </c>
      <c r="E74" s="19" t="s">
        <v>225</v>
      </c>
      <c r="F74" s="19" t="s">
        <v>38</v>
      </c>
      <c r="G74" s="19" t="s">
        <v>226</v>
      </c>
      <c r="H74" s="19" t="s">
        <v>227</v>
      </c>
      <c r="I74" s="19" t="s">
        <v>228</v>
      </c>
      <c r="J74" s="19"/>
      <c r="K74" s="19"/>
      <c r="L74" s="19"/>
      <c r="M74" s="28" t="n">
        <v>981213</v>
      </c>
      <c r="N74" s="19"/>
      <c r="O74" s="19"/>
      <c r="P74" s="19"/>
      <c r="Q74" s="19" t="str">
        <f aca="false">IF(O74=M74,"PAYER","A PAYER")</f>
        <v>A PAYER</v>
      </c>
      <c r="R74" s="19"/>
      <c r="S74" s="21"/>
      <c r="T74" s="11"/>
    </row>
    <row r="75" customFormat="false" ht="15.75" hidden="false" customHeight="true" outlineLevel="0" collapsed="false">
      <c r="A75" s="18" t="n">
        <v>82</v>
      </c>
      <c r="B75" s="13" t="n">
        <v>46041</v>
      </c>
      <c r="C75" s="19" t="s">
        <v>28</v>
      </c>
      <c r="D75" s="19" t="s">
        <v>210</v>
      </c>
      <c r="E75" s="19" t="s">
        <v>30</v>
      </c>
      <c r="F75" s="19" t="s">
        <v>31</v>
      </c>
      <c r="G75" s="19" t="s">
        <v>229</v>
      </c>
      <c r="H75" s="19" t="s">
        <v>230</v>
      </c>
      <c r="I75" s="19" t="s">
        <v>231</v>
      </c>
      <c r="J75" s="19"/>
      <c r="K75" s="19"/>
      <c r="L75" s="19"/>
      <c r="M75" s="28" t="n">
        <v>122500</v>
      </c>
      <c r="N75" s="19"/>
      <c r="O75" s="19"/>
      <c r="P75" s="19"/>
      <c r="Q75" s="19" t="str">
        <f aca="false">IF(O75=M75,"PAYER","A PAYER")</f>
        <v>A PAYER</v>
      </c>
      <c r="R75" s="19"/>
      <c r="S75" s="21"/>
      <c r="T75" s="11"/>
    </row>
    <row r="76" customFormat="false" ht="15.75" hidden="false" customHeight="true" outlineLevel="0" collapsed="false">
      <c r="A76" s="18" t="n">
        <v>83</v>
      </c>
      <c r="B76" s="13" t="n">
        <v>46031</v>
      </c>
      <c r="C76" s="19" t="s">
        <v>28</v>
      </c>
      <c r="D76" s="19" t="s">
        <v>232</v>
      </c>
      <c r="E76" s="19" t="s">
        <v>30</v>
      </c>
      <c r="F76" s="19" t="s">
        <v>38</v>
      </c>
      <c r="G76" s="19" t="s">
        <v>233</v>
      </c>
      <c r="H76" s="19" t="s">
        <v>234</v>
      </c>
      <c r="I76" s="19" t="s">
        <v>235</v>
      </c>
      <c r="J76" s="19"/>
      <c r="K76" s="19"/>
      <c r="L76" s="19"/>
      <c r="M76" s="28" t="n">
        <v>10000</v>
      </c>
      <c r="N76" s="19"/>
      <c r="O76" s="19"/>
      <c r="P76" s="19"/>
      <c r="Q76" s="19" t="str">
        <f aca="false">IF(O76=M76,"PAYER","A PAYER")</f>
        <v>A PAYER</v>
      </c>
      <c r="R76" s="19"/>
      <c r="S76" s="21"/>
      <c r="T76" s="11"/>
    </row>
    <row r="77" customFormat="false" ht="15.75" hidden="false" customHeight="true" outlineLevel="0" collapsed="false">
      <c r="A77" s="18" t="n">
        <v>84</v>
      </c>
      <c r="B77" s="13" t="n">
        <v>46032</v>
      </c>
      <c r="C77" s="19" t="s">
        <v>28</v>
      </c>
      <c r="D77" s="19" t="s">
        <v>29</v>
      </c>
      <c r="E77" s="19" t="s">
        <v>30</v>
      </c>
      <c r="F77" s="19" t="s">
        <v>38</v>
      </c>
      <c r="G77" s="19" t="s">
        <v>160</v>
      </c>
      <c r="H77" s="19" t="s">
        <v>236</v>
      </c>
      <c r="I77" s="19" t="s">
        <v>237</v>
      </c>
      <c r="J77" s="19"/>
      <c r="K77" s="19"/>
      <c r="L77" s="19"/>
      <c r="M77" s="28" t="n">
        <v>96000</v>
      </c>
      <c r="N77" s="19"/>
      <c r="O77" s="19"/>
      <c r="P77" s="19"/>
      <c r="Q77" s="19" t="str">
        <f aca="false">IF(O77=M77,"PAYER","A PAYER")</f>
        <v>A PAYER</v>
      </c>
      <c r="R77" s="19"/>
      <c r="S77" s="21"/>
      <c r="T77" s="11"/>
    </row>
    <row r="78" customFormat="false" ht="15.75" hidden="false" customHeight="true" outlineLevel="0" collapsed="false">
      <c r="A78" s="18" t="n">
        <v>85</v>
      </c>
      <c r="B78" s="13" t="n">
        <v>46032</v>
      </c>
      <c r="C78" s="19" t="s">
        <v>28</v>
      </c>
      <c r="D78" s="19" t="s">
        <v>29</v>
      </c>
      <c r="E78" s="19" t="s">
        <v>30</v>
      </c>
      <c r="F78" s="19" t="s">
        <v>38</v>
      </c>
      <c r="G78" s="19" t="s">
        <v>194</v>
      </c>
      <c r="H78" s="19" t="s">
        <v>238</v>
      </c>
      <c r="I78" s="19" t="s">
        <v>239</v>
      </c>
      <c r="J78" s="19"/>
      <c r="K78" s="19"/>
      <c r="L78" s="19"/>
      <c r="M78" s="28" t="n">
        <v>55000</v>
      </c>
      <c r="N78" s="19"/>
      <c r="O78" s="19"/>
      <c r="P78" s="19"/>
      <c r="Q78" s="19" t="str">
        <f aca="false">IF(O78=M78,"PAYER","A PAYER")</f>
        <v>A PAYER</v>
      </c>
      <c r="R78" s="19"/>
      <c r="S78" s="21"/>
      <c r="T78" s="11"/>
    </row>
    <row r="79" customFormat="false" ht="15.75" hidden="false" customHeight="true" outlineLevel="0" collapsed="false">
      <c r="A79" s="18" t="n">
        <v>86</v>
      </c>
      <c r="B79" s="13" t="n">
        <v>46034</v>
      </c>
      <c r="C79" s="19" t="s">
        <v>28</v>
      </c>
      <c r="D79" s="19" t="s">
        <v>156</v>
      </c>
      <c r="E79" s="19" t="s">
        <v>30</v>
      </c>
      <c r="F79" s="19" t="s">
        <v>38</v>
      </c>
      <c r="G79" s="19" t="s">
        <v>169</v>
      </c>
      <c r="H79" s="19" t="s">
        <v>240</v>
      </c>
      <c r="I79" s="19" t="s">
        <v>241</v>
      </c>
      <c r="J79" s="19"/>
      <c r="K79" s="19"/>
      <c r="L79" s="19"/>
      <c r="M79" s="28" t="n">
        <v>717000</v>
      </c>
      <c r="N79" s="19"/>
      <c r="O79" s="19"/>
      <c r="P79" s="19"/>
      <c r="Q79" s="19" t="str">
        <f aca="false">IF(O79=M79,"PAYER","A PAYER")</f>
        <v>A PAYER</v>
      </c>
      <c r="R79" s="19"/>
      <c r="S79" s="21"/>
      <c r="T79" s="11"/>
    </row>
    <row r="80" customFormat="false" ht="15.75" hidden="false" customHeight="true" outlineLevel="0" collapsed="false">
      <c r="A80" s="18" t="n">
        <v>87</v>
      </c>
      <c r="B80" s="13" t="n">
        <v>46021</v>
      </c>
      <c r="C80" s="19" t="s">
        <v>28</v>
      </c>
      <c r="D80" s="19" t="s">
        <v>67</v>
      </c>
      <c r="E80" s="19" t="s">
        <v>68</v>
      </c>
      <c r="F80" s="19" t="s">
        <v>38</v>
      </c>
      <c r="G80" s="19" t="s">
        <v>69</v>
      </c>
      <c r="H80" s="19" t="s">
        <v>242</v>
      </c>
      <c r="I80" s="19" t="s">
        <v>71</v>
      </c>
      <c r="J80" s="19"/>
      <c r="K80" s="19"/>
      <c r="L80" s="19"/>
      <c r="M80" s="28" t="n">
        <v>250000</v>
      </c>
      <c r="N80" s="19"/>
      <c r="O80" s="19"/>
      <c r="P80" s="19"/>
      <c r="Q80" s="19" t="str">
        <f aca="false">IF(O80=M80,"PAYER","A PAYER")</f>
        <v>A PAYER</v>
      </c>
      <c r="R80" s="19"/>
      <c r="S80" s="21"/>
      <c r="T80" s="11"/>
    </row>
    <row r="81" customFormat="false" ht="15.75" hidden="false" customHeight="true" outlineLevel="0" collapsed="false">
      <c r="A81" s="18" t="n">
        <v>88</v>
      </c>
      <c r="B81" s="13" t="n">
        <v>46364</v>
      </c>
      <c r="C81" s="19" t="s">
        <v>28</v>
      </c>
      <c r="D81" s="19" t="s">
        <v>210</v>
      </c>
      <c r="E81" s="19" t="s">
        <v>30</v>
      </c>
      <c r="F81" s="19" t="s">
        <v>38</v>
      </c>
      <c r="G81" s="19" t="s">
        <v>243</v>
      </c>
      <c r="H81" s="19" t="s">
        <v>244</v>
      </c>
      <c r="I81" s="19" t="s">
        <v>245</v>
      </c>
      <c r="J81" s="19"/>
      <c r="K81" s="19"/>
      <c r="L81" s="19"/>
      <c r="M81" s="28" t="n">
        <v>1281938</v>
      </c>
      <c r="N81" s="19"/>
      <c r="O81" s="19"/>
      <c r="P81" s="19"/>
      <c r="Q81" s="19" t="str">
        <f aca="false">IF(O81=M81,"PAYER","A PAYER")</f>
        <v>A PAYER</v>
      </c>
      <c r="R81" s="19"/>
      <c r="S81" s="21"/>
      <c r="T81" s="11"/>
    </row>
    <row r="82" customFormat="false" ht="15.75" hidden="false" customHeight="true" outlineLevel="0" collapsed="false">
      <c r="A82" s="18" t="n">
        <v>89</v>
      </c>
      <c r="B82" s="13" t="n">
        <v>46028</v>
      </c>
      <c r="C82" s="19" t="s">
        <v>28</v>
      </c>
      <c r="D82" s="19" t="s">
        <v>210</v>
      </c>
      <c r="E82" s="19" t="s">
        <v>30</v>
      </c>
      <c r="F82" s="19" t="s">
        <v>38</v>
      </c>
      <c r="G82" s="19" t="s">
        <v>243</v>
      </c>
      <c r="H82" s="19" t="s">
        <v>244</v>
      </c>
      <c r="I82" s="19" t="s">
        <v>246</v>
      </c>
      <c r="J82" s="19"/>
      <c r="K82" s="19"/>
      <c r="L82" s="19"/>
      <c r="M82" s="28" t="n">
        <v>1311750</v>
      </c>
      <c r="N82" s="19"/>
      <c r="O82" s="19"/>
      <c r="P82" s="19"/>
      <c r="Q82" s="19" t="str">
        <f aca="false">IF(O82=M82,"PAYER","A PAYER")</f>
        <v>A PAYER</v>
      </c>
      <c r="R82" s="19"/>
      <c r="S82" s="21"/>
      <c r="T82" s="11"/>
    </row>
    <row r="83" customFormat="false" ht="15.75" hidden="false" customHeight="true" outlineLevel="0" collapsed="false">
      <c r="A83" s="18" t="n">
        <v>90</v>
      </c>
      <c r="B83" s="13" t="n">
        <v>46030</v>
      </c>
      <c r="C83" s="19" t="s">
        <v>28</v>
      </c>
      <c r="D83" s="19" t="s">
        <v>156</v>
      </c>
      <c r="E83" s="19" t="s">
        <v>30</v>
      </c>
      <c r="F83" s="19" t="s">
        <v>38</v>
      </c>
      <c r="G83" s="19" t="s">
        <v>243</v>
      </c>
      <c r="H83" s="19" t="s">
        <v>244</v>
      </c>
      <c r="I83" s="19" t="s">
        <v>247</v>
      </c>
      <c r="J83" s="19"/>
      <c r="K83" s="19"/>
      <c r="L83" s="19"/>
      <c r="M83" s="28" t="n">
        <v>7691625</v>
      </c>
      <c r="N83" s="19"/>
      <c r="O83" s="19"/>
      <c r="P83" s="19"/>
      <c r="Q83" s="19" t="str">
        <f aca="false">IF(O83=M83,"PAYER","A PAYER")</f>
        <v>A PAYER</v>
      </c>
      <c r="R83" s="19"/>
      <c r="S83" s="21"/>
      <c r="T83" s="11"/>
    </row>
    <row r="84" customFormat="false" ht="15.75" hidden="false" customHeight="true" outlineLevel="0" collapsed="false">
      <c r="A84" s="18" t="n">
        <v>91</v>
      </c>
      <c r="B84" s="13" t="n">
        <v>46036</v>
      </c>
      <c r="C84" s="19" t="s">
        <v>28</v>
      </c>
      <c r="D84" s="19" t="s">
        <v>224</v>
      </c>
      <c r="E84" s="19" t="s">
        <v>225</v>
      </c>
      <c r="F84" s="19" t="s">
        <v>38</v>
      </c>
      <c r="G84" s="19" t="s">
        <v>248</v>
      </c>
      <c r="H84" s="19" t="s">
        <v>249</v>
      </c>
      <c r="I84" s="19" t="s">
        <v>250</v>
      </c>
      <c r="J84" s="19"/>
      <c r="K84" s="19"/>
      <c r="L84" s="19"/>
      <c r="M84" s="28" t="n">
        <v>3235187</v>
      </c>
      <c r="N84" s="19"/>
      <c r="O84" s="19"/>
      <c r="P84" s="19"/>
      <c r="Q84" s="19" t="str">
        <f aca="false">IF(O84=M84,"PAYER","A PAYER")</f>
        <v>A PAYER</v>
      </c>
      <c r="R84" s="19"/>
      <c r="S84" s="21"/>
      <c r="T84" s="11"/>
    </row>
    <row r="85" customFormat="false" ht="15.75" hidden="false" customHeight="true" outlineLevel="0" collapsed="false">
      <c r="A85" s="18" t="n">
        <v>92</v>
      </c>
      <c r="B85" s="13" t="n">
        <v>46049</v>
      </c>
      <c r="C85" s="19" t="s">
        <v>23</v>
      </c>
      <c r="D85" s="19" t="s">
        <v>251</v>
      </c>
      <c r="E85" s="19" t="s">
        <v>44</v>
      </c>
      <c r="F85" s="19" t="s">
        <v>31</v>
      </c>
      <c r="G85" s="19" t="s">
        <v>252</v>
      </c>
      <c r="H85" s="19" t="s">
        <v>253</v>
      </c>
      <c r="I85" s="19" t="s">
        <v>254</v>
      </c>
      <c r="J85" s="19"/>
      <c r="K85" s="19"/>
      <c r="L85" s="19"/>
      <c r="M85" s="28" t="n">
        <v>2486363</v>
      </c>
      <c r="N85" s="19"/>
      <c r="O85" s="19"/>
      <c r="P85" s="19"/>
      <c r="Q85" s="19" t="str">
        <f aca="false">IF(O85=M85,"PAYER","A PAYER")</f>
        <v>A PAYER</v>
      </c>
      <c r="R85" s="19"/>
      <c r="S85" s="21"/>
      <c r="T85" s="11"/>
    </row>
    <row r="86" customFormat="false" ht="15.75" hidden="false" customHeight="true" outlineLevel="0" collapsed="false">
      <c r="A86" s="18" t="n">
        <v>93</v>
      </c>
      <c r="B86" s="13" t="n">
        <v>46049</v>
      </c>
      <c r="C86" s="19" t="s">
        <v>23</v>
      </c>
      <c r="D86" s="19" t="s">
        <v>59</v>
      </c>
      <c r="E86" s="19" t="s">
        <v>60</v>
      </c>
      <c r="F86" s="19" t="s">
        <v>31</v>
      </c>
      <c r="G86" s="19" t="s">
        <v>255</v>
      </c>
      <c r="H86" s="19" t="s">
        <v>256</v>
      </c>
      <c r="I86" s="19" t="s">
        <v>257</v>
      </c>
      <c r="J86" s="19"/>
      <c r="K86" s="19"/>
      <c r="L86" s="19"/>
      <c r="M86" s="28" t="n">
        <v>500000</v>
      </c>
      <c r="N86" s="19"/>
      <c r="O86" s="19"/>
      <c r="P86" s="19"/>
      <c r="Q86" s="19" t="str">
        <f aca="false">IF(O86=M86,"PAYER","A PAYER")</f>
        <v>A PAYER</v>
      </c>
      <c r="R86" s="19"/>
      <c r="S86" s="21"/>
      <c r="T86" s="11"/>
    </row>
    <row r="87" customFormat="false" ht="15.75" hidden="false" customHeight="true" outlineLevel="0" collapsed="false">
      <c r="A87" s="18" t="n">
        <v>94</v>
      </c>
      <c r="B87" s="13" t="n">
        <v>46049</v>
      </c>
      <c r="C87" s="19" t="s">
        <v>23</v>
      </c>
      <c r="D87" s="19" t="s">
        <v>59</v>
      </c>
      <c r="E87" s="19" t="s">
        <v>60</v>
      </c>
      <c r="F87" s="19" t="s">
        <v>31</v>
      </c>
      <c r="G87" s="19" t="s">
        <v>255</v>
      </c>
      <c r="H87" s="19" t="s">
        <v>256</v>
      </c>
      <c r="I87" s="19" t="s">
        <v>258</v>
      </c>
      <c r="J87" s="19"/>
      <c r="K87" s="19"/>
      <c r="L87" s="19"/>
      <c r="M87" s="28" t="n">
        <v>430000</v>
      </c>
      <c r="N87" s="19"/>
      <c r="O87" s="19"/>
      <c r="P87" s="19"/>
      <c r="Q87" s="19" t="str">
        <f aca="false">IF(O87=M87,"PAYER","A PAYER")</f>
        <v>A PAYER</v>
      </c>
      <c r="R87" s="19"/>
      <c r="S87" s="21"/>
      <c r="T87" s="11"/>
    </row>
    <row r="88" customFormat="false" ht="15.75" hidden="false" customHeight="true" outlineLevel="0" collapsed="false">
      <c r="A88" s="18" t="n">
        <v>95</v>
      </c>
      <c r="B88" s="13" t="n">
        <v>46049</v>
      </c>
      <c r="C88" s="19" t="s">
        <v>23</v>
      </c>
      <c r="D88" s="19" t="s">
        <v>259</v>
      </c>
      <c r="E88" s="19" t="s">
        <v>24</v>
      </c>
      <c r="F88" s="19" t="s">
        <v>38</v>
      </c>
      <c r="G88" s="19" t="s">
        <v>260</v>
      </c>
      <c r="H88" s="19" t="s">
        <v>261</v>
      </c>
      <c r="I88" s="19" t="s">
        <v>262</v>
      </c>
      <c r="J88" s="19"/>
      <c r="K88" s="19"/>
      <c r="L88" s="19"/>
      <c r="M88" s="28" t="n">
        <v>6501453</v>
      </c>
      <c r="N88" s="19"/>
      <c r="O88" s="19"/>
      <c r="P88" s="19"/>
      <c r="Q88" s="19" t="str">
        <f aca="false">IF(O88=M88,"PAYER","A PAYER")</f>
        <v>A PAYER</v>
      </c>
      <c r="R88" s="19"/>
      <c r="S88" s="21"/>
      <c r="T88" s="11"/>
    </row>
    <row r="89" customFormat="false" ht="15.75" hidden="false" customHeight="true" outlineLevel="0" collapsed="false">
      <c r="A89" s="18" t="n">
        <v>96</v>
      </c>
      <c r="B89" s="13" t="n">
        <v>46036</v>
      </c>
      <c r="C89" s="19" t="s">
        <v>28</v>
      </c>
      <c r="D89" s="19" t="s">
        <v>263</v>
      </c>
      <c r="E89" s="19" t="s">
        <v>225</v>
      </c>
      <c r="F89" s="19" t="s">
        <v>38</v>
      </c>
      <c r="G89" s="19" t="s">
        <v>248</v>
      </c>
      <c r="H89" s="19" t="s">
        <v>264</v>
      </c>
      <c r="I89" s="19" t="s">
        <v>250</v>
      </c>
      <c r="J89" s="19"/>
      <c r="K89" s="19"/>
      <c r="L89" s="19"/>
      <c r="M89" s="28" t="n">
        <v>4249249</v>
      </c>
      <c r="N89" s="19"/>
      <c r="O89" s="19"/>
      <c r="P89" s="19"/>
      <c r="Q89" s="19" t="str">
        <f aca="false">IF(O89=M89,"PAYER","A PAYER")</f>
        <v>A PAYER</v>
      </c>
      <c r="R89" s="19"/>
      <c r="S89" s="21"/>
      <c r="T89" s="11"/>
    </row>
    <row r="90" customFormat="false" ht="15.75" hidden="false" customHeight="true" outlineLevel="0" collapsed="false">
      <c r="A90" s="18" t="n">
        <v>97</v>
      </c>
      <c r="B90" s="13" t="n">
        <v>46049</v>
      </c>
      <c r="C90" s="19" t="s">
        <v>28</v>
      </c>
      <c r="D90" s="19" t="s">
        <v>29</v>
      </c>
      <c r="E90" s="19" t="s">
        <v>30</v>
      </c>
      <c r="F90" s="19" t="s">
        <v>31</v>
      </c>
      <c r="G90" s="19" t="s">
        <v>211</v>
      </c>
      <c r="H90" s="19" t="s">
        <v>265</v>
      </c>
      <c r="I90" s="19" t="s">
        <v>266</v>
      </c>
      <c r="J90" s="19"/>
      <c r="K90" s="19"/>
      <c r="L90" s="19"/>
      <c r="M90" s="28" t="n">
        <v>298125</v>
      </c>
      <c r="N90" s="19"/>
      <c r="O90" s="19"/>
      <c r="P90" s="19"/>
      <c r="Q90" s="19" t="str">
        <f aca="false">IF(O90=M90,"PAYER","A PAYER")</f>
        <v>A PAYER</v>
      </c>
      <c r="R90" s="19"/>
      <c r="S90" s="21"/>
      <c r="T90" s="11"/>
    </row>
    <row r="91" customFormat="false" ht="15.75" hidden="false" customHeight="true" outlineLevel="0" collapsed="false">
      <c r="A91" s="18" t="n">
        <v>98</v>
      </c>
      <c r="B91" s="13" t="n">
        <v>46046</v>
      </c>
      <c r="C91" s="19" t="s">
        <v>28</v>
      </c>
      <c r="D91" s="19" t="s">
        <v>29</v>
      </c>
      <c r="E91" s="19" t="s">
        <v>30</v>
      </c>
      <c r="F91" s="19" t="s">
        <v>31</v>
      </c>
      <c r="G91" s="19" t="s">
        <v>169</v>
      </c>
      <c r="H91" s="19" t="s">
        <v>267</v>
      </c>
      <c r="I91" s="19" t="s">
        <v>268</v>
      </c>
      <c r="J91" s="19"/>
      <c r="K91" s="19"/>
      <c r="L91" s="19"/>
      <c r="M91" s="28" t="n">
        <v>2867550</v>
      </c>
      <c r="N91" s="19"/>
      <c r="O91" s="19"/>
      <c r="P91" s="19"/>
      <c r="Q91" s="19" t="str">
        <f aca="false">IF(O91=M91,"PAYER","A PAYER")</f>
        <v>A PAYER</v>
      </c>
      <c r="R91" s="19"/>
      <c r="S91" s="21"/>
      <c r="T91" s="11"/>
    </row>
    <row r="92" customFormat="false" ht="15.75" hidden="false" customHeight="true" outlineLevel="0" collapsed="false">
      <c r="A92" s="18" t="n">
        <v>99</v>
      </c>
      <c r="B92" s="13" t="n">
        <v>46050</v>
      </c>
      <c r="C92" s="19" t="s">
        <v>23</v>
      </c>
      <c r="D92" s="19" t="s">
        <v>43</v>
      </c>
      <c r="E92" s="19" t="s">
        <v>44</v>
      </c>
      <c r="F92" s="19" t="s">
        <v>31</v>
      </c>
      <c r="G92" s="19" t="s">
        <v>142</v>
      </c>
      <c r="H92" s="19" t="s">
        <v>269</v>
      </c>
      <c r="I92" s="19" t="s">
        <v>270</v>
      </c>
      <c r="J92" s="19"/>
      <c r="K92" s="19"/>
      <c r="L92" s="19"/>
      <c r="M92" s="28" t="n">
        <v>105745</v>
      </c>
      <c r="N92" s="19"/>
      <c r="O92" s="19"/>
      <c r="P92" s="19"/>
      <c r="Q92" s="19" t="str">
        <f aca="false">IF(O92=M92,"PAYER","A PAYER")</f>
        <v>A PAYER</v>
      </c>
      <c r="R92" s="19"/>
      <c r="S92" s="21"/>
      <c r="T92" s="11"/>
    </row>
    <row r="93" customFormat="false" ht="15.75" hidden="false" customHeight="true" outlineLevel="0" collapsed="false">
      <c r="A93" s="18" t="n">
        <v>100</v>
      </c>
      <c r="B93" s="13" t="n">
        <v>46050</v>
      </c>
      <c r="C93" s="19" t="s">
        <v>23</v>
      </c>
      <c r="D93" s="19" t="s">
        <v>43</v>
      </c>
      <c r="E93" s="19" t="s">
        <v>44</v>
      </c>
      <c r="F93" s="19" t="s">
        <v>31</v>
      </c>
      <c r="G93" s="19" t="s">
        <v>271</v>
      </c>
      <c r="H93" s="19" t="s">
        <v>272</v>
      </c>
      <c r="I93" s="19" t="s">
        <v>273</v>
      </c>
      <c r="J93" s="19"/>
      <c r="K93" s="19"/>
      <c r="L93" s="19"/>
      <c r="M93" s="28" t="n">
        <v>335000</v>
      </c>
      <c r="N93" s="19"/>
      <c r="O93" s="19"/>
      <c r="P93" s="19"/>
      <c r="Q93" s="19" t="str">
        <f aca="false">IF(O93=M93,"PAYER","A PAYER")</f>
        <v>A PAYER</v>
      </c>
      <c r="R93" s="19"/>
      <c r="S93" s="21"/>
      <c r="T93" s="11"/>
    </row>
    <row r="94" customFormat="false" ht="15.75" hidden="false" customHeight="true" outlineLevel="0" collapsed="false">
      <c r="A94" s="18" t="n">
        <v>101</v>
      </c>
      <c r="B94" s="13" t="n">
        <v>46045</v>
      </c>
      <c r="C94" s="19" t="s">
        <v>28</v>
      </c>
      <c r="D94" s="19" t="s">
        <v>163</v>
      </c>
      <c r="E94" s="19" t="s">
        <v>68</v>
      </c>
      <c r="F94" s="19" t="s">
        <v>38</v>
      </c>
      <c r="G94" s="19" t="s">
        <v>229</v>
      </c>
      <c r="H94" s="19" t="s">
        <v>274</v>
      </c>
      <c r="I94" s="19" t="s">
        <v>275</v>
      </c>
      <c r="J94" s="19"/>
      <c r="K94" s="19"/>
      <c r="L94" s="19"/>
      <c r="M94" s="28" t="n">
        <v>210910</v>
      </c>
      <c r="N94" s="19"/>
      <c r="O94" s="19"/>
      <c r="P94" s="19"/>
      <c r="Q94" s="19" t="str">
        <f aca="false">IF(O94=M94,"PAYER","A PAYER")</f>
        <v>A PAYER</v>
      </c>
      <c r="R94" s="19"/>
      <c r="S94" s="21"/>
      <c r="T94" s="11"/>
    </row>
    <row r="95" customFormat="false" ht="15.75" hidden="false" customHeight="true" outlineLevel="0" collapsed="false">
      <c r="A95" s="18" t="n">
        <v>102</v>
      </c>
      <c r="B95" s="13" t="n">
        <v>46045</v>
      </c>
      <c r="C95" s="19" t="s">
        <v>28</v>
      </c>
      <c r="D95" s="19" t="s">
        <v>210</v>
      </c>
      <c r="E95" s="19" t="s">
        <v>30</v>
      </c>
      <c r="F95" s="19" t="s">
        <v>38</v>
      </c>
      <c r="G95" s="19" t="s">
        <v>229</v>
      </c>
      <c r="H95" s="19" t="s">
        <v>276</v>
      </c>
      <c r="I95" s="19" t="s">
        <v>277</v>
      </c>
      <c r="J95" s="19"/>
      <c r="K95" s="19"/>
      <c r="L95" s="19"/>
      <c r="M95" s="28" t="n">
        <v>50000</v>
      </c>
      <c r="N95" s="19"/>
      <c r="O95" s="19"/>
      <c r="P95" s="19"/>
      <c r="Q95" s="19" t="str">
        <f aca="false">IF(O95=M95,"PAYER","A PAYER")</f>
        <v>A PAYER</v>
      </c>
      <c r="R95" s="19"/>
      <c r="S95" s="21"/>
      <c r="T95" s="11"/>
    </row>
    <row r="96" customFormat="false" ht="15.75" hidden="false" customHeight="true" outlineLevel="0" collapsed="false">
      <c r="A96" s="18" t="n">
        <v>103</v>
      </c>
      <c r="B96" s="13" t="n">
        <v>46045</v>
      </c>
      <c r="C96" s="19" t="s">
        <v>28</v>
      </c>
      <c r="D96" s="19" t="s">
        <v>210</v>
      </c>
      <c r="E96" s="19" t="s">
        <v>30</v>
      </c>
      <c r="F96" s="19" t="s">
        <v>38</v>
      </c>
      <c r="G96" s="19" t="s">
        <v>278</v>
      </c>
      <c r="H96" s="19" t="s">
        <v>279</v>
      </c>
      <c r="I96" s="19" t="s">
        <v>280</v>
      </c>
      <c r="J96" s="19"/>
      <c r="K96" s="19"/>
      <c r="L96" s="19"/>
      <c r="M96" s="28" t="n">
        <v>731003</v>
      </c>
      <c r="N96" s="19"/>
      <c r="O96" s="19"/>
      <c r="P96" s="19"/>
      <c r="Q96" s="19" t="str">
        <f aca="false">IF(O96=M96,"PAYER","A PAYER")</f>
        <v>A PAYER</v>
      </c>
      <c r="R96" s="19"/>
      <c r="S96" s="21"/>
      <c r="T96" s="11"/>
    </row>
    <row r="97" customFormat="false" ht="15.75" hidden="false" customHeight="true" outlineLevel="0" collapsed="false">
      <c r="A97" s="18" t="n">
        <v>104</v>
      </c>
      <c r="B97" s="13" t="n">
        <v>46045</v>
      </c>
      <c r="C97" s="19" t="s">
        <v>28</v>
      </c>
      <c r="D97" s="19" t="s">
        <v>210</v>
      </c>
      <c r="E97" s="19" t="s">
        <v>30</v>
      </c>
      <c r="F97" s="19" t="s">
        <v>38</v>
      </c>
      <c r="G97" s="19" t="s">
        <v>278</v>
      </c>
      <c r="H97" s="19" t="s">
        <v>281</v>
      </c>
      <c r="I97" s="19" t="s">
        <v>282</v>
      </c>
      <c r="J97" s="19"/>
      <c r="K97" s="19"/>
      <c r="L97" s="19"/>
      <c r="M97" s="28" t="n">
        <v>1448888</v>
      </c>
      <c r="N97" s="19"/>
      <c r="O97" s="19"/>
      <c r="P97" s="19"/>
      <c r="Q97" s="19" t="str">
        <f aca="false">IF(O97=M97,"PAYER","A PAYER")</f>
        <v>A PAYER</v>
      </c>
      <c r="R97" s="19"/>
      <c r="S97" s="21"/>
      <c r="T97" s="11"/>
    </row>
    <row r="98" customFormat="false" ht="15.75" hidden="false" customHeight="true" outlineLevel="0" collapsed="false">
      <c r="A98" s="18" t="n">
        <v>105</v>
      </c>
      <c r="B98" s="13" t="n">
        <v>46045</v>
      </c>
      <c r="C98" s="19" t="s">
        <v>28</v>
      </c>
      <c r="D98" s="19" t="s">
        <v>210</v>
      </c>
      <c r="E98" s="19" t="s">
        <v>30</v>
      </c>
      <c r="F98" s="19" t="s">
        <v>38</v>
      </c>
      <c r="G98" s="19" t="s">
        <v>229</v>
      </c>
      <c r="H98" s="19" t="s">
        <v>283</v>
      </c>
      <c r="I98" s="19" t="s">
        <v>284</v>
      </c>
      <c r="J98" s="19"/>
      <c r="K98" s="19"/>
      <c r="L98" s="19"/>
      <c r="M98" s="28" t="n">
        <v>950000</v>
      </c>
      <c r="N98" s="19"/>
      <c r="O98" s="19"/>
      <c r="P98" s="19"/>
      <c r="Q98" s="19" t="str">
        <f aca="false">IF(O98=M98,"PAYER","A PAYER")</f>
        <v>A PAYER</v>
      </c>
      <c r="R98" s="19"/>
      <c r="S98" s="21"/>
      <c r="T98" s="11"/>
    </row>
    <row r="99" customFormat="false" ht="15.75" hidden="false" customHeight="true" outlineLevel="0" collapsed="false">
      <c r="A99" s="18" t="n">
        <v>106</v>
      </c>
      <c r="B99" s="13" t="n">
        <v>45686</v>
      </c>
      <c r="C99" s="19" t="s">
        <v>23</v>
      </c>
      <c r="D99" s="19" t="s">
        <v>285</v>
      </c>
      <c r="E99" s="19" t="s">
        <v>37</v>
      </c>
      <c r="F99" s="19" t="s">
        <v>31</v>
      </c>
      <c r="G99" s="19" t="s">
        <v>286</v>
      </c>
      <c r="H99" s="19" t="s">
        <v>287</v>
      </c>
      <c r="I99" s="19" t="s">
        <v>288</v>
      </c>
      <c r="J99" s="19"/>
      <c r="K99" s="19"/>
      <c r="L99" s="19"/>
      <c r="M99" s="19" t="n">
        <v>727425</v>
      </c>
      <c r="N99" s="19"/>
      <c r="O99" s="19"/>
      <c r="P99" s="19"/>
      <c r="Q99" s="19" t="str">
        <f aca="false">IF(O99=M99,"PAYER","A PAYER")</f>
        <v>A PAYER</v>
      </c>
      <c r="R99" s="19"/>
      <c r="S99" s="21"/>
      <c r="T99" s="11"/>
    </row>
    <row r="100" customFormat="false" ht="15.75" hidden="false" customHeight="true" outlineLevel="0" collapsed="false">
      <c r="A100" s="18" t="n">
        <v>107</v>
      </c>
      <c r="B100" s="13" t="n">
        <v>46051</v>
      </c>
      <c r="C100" s="19" t="s">
        <v>23</v>
      </c>
      <c r="D100" s="19" t="s">
        <v>289</v>
      </c>
      <c r="E100" s="19" t="s">
        <v>60</v>
      </c>
      <c r="F100" s="19" t="s">
        <v>31</v>
      </c>
      <c r="G100" s="19" t="s">
        <v>290</v>
      </c>
      <c r="H100" s="19" t="s">
        <v>291</v>
      </c>
      <c r="I100" s="19" t="s">
        <v>292</v>
      </c>
      <c r="J100" s="19"/>
      <c r="K100" s="19"/>
      <c r="L100" s="19"/>
      <c r="M100" s="30" t="n">
        <v>380000</v>
      </c>
      <c r="N100" s="19"/>
      <c r="O100" s="19"/>
      <c r="P100" s="19"/>
      <c r="Q100" s="19" t="str">
        <f aca="false">IF(O100=M100,"PAYER","A PAYER")</f>
        <v>A PAYER</v>
      </c>
      <c r="R100" s="19"/>
      <c r="S100" s="21"/>
      <c r="T100" s="11"/>
    </row>
    <row r="101" customFormat="false" ht="15.75" hidden="false" customHeight="true" outlineLevel="0" collapsed="false">
      <c r="A101" s="18" t="n">
        <v>108</v>
      </c>
      <c r="B101" s="13" t="n">
        <v>46051</v>
      </c>
      <c r="C101" s="19" t="s">
        <v>23</v>
      </c>
      <c r="D101" s="19" t="s">
        <v>133</v>
      </c>
      <c r="E101" s="19" t="s">
        <v>44</v>
      </c>
      <c r="F101" s="19" t="s">
        <v>31</v>
      </c>
      <c r="G101" s="19" t="s">
        <v>134</v>
      </c>
      <c r="H101" s="19" t="s">
        <v>293</v>
      </c>
      <c r="I101" s="19" t="s">
        <v>294</v>
      </c>
      <c r="J101" s="19"/>
      <c r="K101" s="19"/>
      <c r="L101" s="19"/>
      <c r="M101" s="30" t="n">
        <v>8764875</v>
      </c>
      <c r="N101" s="19"/>
      <c r="O101" s="19"/>
      <c r="P101" s="19"/>
      <c r="Q101" s="19" t="str">
        <f aca="false">IF(O101=M101,"PAYER","A PAYER")</f>
        <v>A PAYER</v>
      </c>
      <c r="R101" s="19"/>
      <c r="S101" s="21"/>
      <c r="T101" s="11"/>
    </row>
    <row r="102" customFormat="false" ht="15.75" hidden="false" customHeight="true" outlineLevel="0" collapsed="false">
      <c r="A102" s="18" t="n">
        <v>109</v>
      </c>
      <c r="B102" s="13" t="n">
        <v>46050</v>
      </c>
      <c r="C102" s="19" t="s">
        <v>23</v>
      </c>
      <c r="D102" s="19" t="s">
        <v>289</v>
      </c>
      <c r="E102" s="19" t="s">
        <v>60</v>
      </c>
      <c r="F102" s="19" t="s">
        <v>31</v>
      </c>
      <c r="G102" s="19" t="s">
        <v>61</v>
      </c>
      <c r="H102" s="19" t="s">
        <v>295</v>
      </c>
      <c r="I102" s="19" t="s">
        <v>296</v>
      </c>
      <c r="J102" s="19"/>
      <c r="K102" s="19"/>
      <c r="L102" s="19"/>
      <c r="M102" s="30" t="n">
        <v>400000</v>
      </c>
      <c r="N102" s="19"/>
      <c r="O102" s="19"/>
      <c r="P102" s="19"/>
      <c r="Q102" s="19" t="str">
        <f aca="false">IF(O102=M102,"PAYER","A PAYER")</f>
        <v>A PAYER</v>
      </c>
      <c r="R102" s="19"/>
      <c r="S102" s="21"/>
      <c r="T102" s="11"/>
    </row>
    <row r="103" customFormat="false" ht="15.75" hidden="false" customHeight="true" outlineLevel="0" collapsed="false">
      <c r="A103" s="18" t="n">
        <v>110</v>
      </c>
      <c r="B103" s="13" t="n">
        <v>46050</v>
      </c>
      <c r="C103" s="19" t="s">
        <v>23</v>
      </c>
      <c r="D103" s="19" t="s">
        <v>289</v>
      </c>
      <c r="E103" s="19" t="s">
        <v>60</v>
      </c>
      <c r="F103" s="19" t="s">
        <v>31</v>
      </c>
      <c r="G103" s="19" t="s">
        <v>297</v>
      </c>
      <c r="H103" s="19" t="s">
        <v>295</v>
      </c>
      <c r="I103" s="19" t="s">
        <v>298</v>
      </c>
      <c r="J103" s="19"/>
      <c r="K103" s="19"/>
      <c r="L103" s="19"/>
      <c r="M103" s="30" t="n">
        <v>700000</v>
      </c>
      <c r="N103" s="19"/>
      <c r="O103" s="19"/>
      <c r="P103" s="19"/>
      <c r="Q103" s="19" t="str">
        <f aca="false">IF(O103=M103,"PAYER","A PAYER")</f>
        <v>A PAYER</v>
      </c>
      <c r="R103" s="19"/>
      <c r="S103" s="21"/>
      <c r="T103" s="11"/>
    </row>
    <row r="104" customFormat="false" ht="15.75" hidden="false" customHeight="true" outlineLevel="0" collapsed="false">
      <c r="A104" s="18" t="n">
        <v>111</v>
      </c>
      <c r="B104" s="13" t="n">
        <v>46050</v>
      </c>
      <c r="C104" s="19" t="s">
        <v>23</v>
      </c>
      <c r="D104" s="19" t="s">
        <v>36</v>
      </c>
      <c r="E104" s="19" t="s">
        <v>37</v>
      </c>
      <c r="F104" s="19" t="s">
        <v>38</v>
      </c>
      <c r="G104" s="19" t="s">
        <v>299</v>
      </c>
      <c r="H104" s="19" t="s">
        <v>300</v>
      </c>
      <c r="I104" s="19" t="s">
        <v>301</v>
      </c>
      <c r="J104" s="19"/>
      <c r="K104" s="19"/>
      <c r="L104" s="19"/>
      <c r="M104" s="30" t="n">
        <v>1186750</v>
      </c>
      <c r="N104" s="19"/>
      <c r="O104" s="19"/>
      <c r="P104" s="19"/>
      <c r="Q104" s="19" t="str">
        <f aca="false">IF(O104=M104,"PAYER","A PAYER")</f>
        <v>A PAYER</v>
      </c>
      <c r="R104" s="19"/>
      <c r="S104" s="21"/>
      <c r="T104" s="11"/>
    </row>
    <row r="105" customFormat="false" ht="15.75" hidden="false" customHeight="true" outlineLevel="0" collapsed="false">
      <c r="A105" s="18" t="n">
        <v>112</v>
      </c>
      <c r="B105" s="13" t="n">
        <v>46045</v>
      </c>
      <c r="C105" s="19" t="s">
        <v>28</v>
      </c>
      <c r="D105" s="19" t="s">
        <v>210</v>
      </c>
      <c r="E105" s="19" t="s">
        <v>30</v>
      </c>
      <c r="F105" s="19" t="s">
        <v>38</v>
      </c>
      <c r="G105" s="19" t="s">
        <v>229</v>
      </c>
      <c r="H105" s="19" t="s">
        <v>302</v>
      </c>
      <c r="I105" s="19" t="s">
        <v>303</v>
      </c>
      <c r="J105" s="19"/>
      <c r="K105" s="19"/>
      <c r="L105" s="19"/>
      <c r="M105" s="30" t="n">
        <v>42500</v>
      </c>
      <c r="N105" s="19"/>
      <c r="O105" s="19"/>
      <c r="P105" s="19"/>
      <c r="Q105" s="19" t="str">
        <f aca="false">IF(O105=M105,"PAYER","A PAYER")</f>
        <v>A PAYER</v>
      </c>
      <c r="R105" s="19"/>
      <c r="S105" s="21"/>
      <c r="T105" s="11"/>
    </row>
    <row r="106" customFormat="false" ht="15.75" hidden="false" customHeight="true" outlineLevel="0" collapsed="false">
      <c r="A106" s="18" t="n">
        <v>113</v>
      </c>
      <c r="B106" s="13" t="n">
        <v>46052</v>
      </c>
      <c r="C106" s="19" t="s">
        <v>28</v>
      </c>
      <c r="D106" s="19" t="s">
        <v>29</v>
      </c>
      <c r="E106" s="19" t="s">
        <v>30</v>
      </c>
      <c r="F106" s="19" t="s">
        <v>38</v>
      </c>
      <c r="G106" s="19" t="s">
        <v>164</v>
      </c>
      <c r="H106" s="19" t="s">
        <v>304</v>
      </c>
      <c r="I106" s="19" t="s">
        <v>305</v>
      </c>
      <c r="J106" s="19"/>
      <c r="K106" s="19"/>
      <c r="L106" s="19"/>
      <c r="M106" s="30" t="n">
        <v>280000</v>
      </c>
      <c r="N106" s="19"/>
      <c r="O106" s="19"/>
      <c r="P106" s="19"/>
      <c r="Q106" s="19" t="str">
        <f aca="false">IF(O106=M106,"PAYER","A PAYER")</f>
        <v>A PAYER</v>
      </c>
      <c r="R106" s="19"/>
      <c r="S106" s="21"/>
      <c r="T106" s="11"/>
    </row>
    <row r="107" customFormat="false" ht="15.75" hidden="false" customHeight="true" outlineLevel="0" collapsed="false">
      <c r="A107" s="18" t="n">
        <v>114</v>
      </c>
      <c r="B107" s="13" t="n">
        <v>46052</v>
      </c>
      <c r="C107" s="19" t="s">
        <v>28</v>
      </c>
      <c r="D107" s="19" t="s">
        <v>29</v>
      </c>
      <c r="E107" s="19" t="s">
        <v>30</v>
      </c>
      <c r="F107" s="19" t="s">
        <v>31</v>
      </c>
      <c r="G107" s="19" t="s">
        <v>306</v>
      </c>
      <c r="H107" s="19" t="s">
        <v>307</v>
      </c>
      <c r="I107" s="19" t="s">
        <v>308</v>
      </c>
      <c r="J107" s="19"/>
      <c r="K107" s="19"/>
      <c r="L107" s="19"/>
      <c r="M107" s="30" t="n">
        <v>360000</v>
      </c>
      <c r="N107" s="19"/>
      <c r="O107" s="19"/>
      <c r="P107" s="19"/>
      <c r="Q107" s="19" t="str">
        <f aca="false">IF(O107=M107,"PAYER","A PAYER")</f>
        <v>A PAYER</v>
      </c>
      <c r="R107" s="19"/>
      <c r="S107" s="21"/>
      <c r="T107" s="11"/>
    </row>
    <row r="108" customFormat="false" ht="15.75" hidden="false" customHeight="true" outlineLevel="0" collapsed="false">
      <c r="A108" s="18" t="n">
        <v>115</v>
      </c>
      <c r="B108" s="13" t="n">
        <v>46052</v>
      </c>
      <c r="C108" s="19" t="s">
        <v>23</v>
      </c>
      <c r="D108" s="19" t="s">
        <v>36</v>
      </c>
      <c r="E108" s="19" t="s">
        <v>37</v>
      </c>
      <c r="F108" s="19" t="s">
        <v>38</v>
      </c>
      <c r="G108" s="19" t="s">
        <v>309</v>
      </c>
      <c r="H108" s="19" t="s">
        <v>310</v>
      </c>
      <c r="I108" s="19" t="s">
        <v>311</v>
      </c>
      <c r="J108" s="19"/>
      <c r="K108" s="19"/>
      <c r="L108" s="19"/>
      <c r="M108" s="30" t="n">
        <v>178778</v>
      </c>
      <c r="N108" s="19"/>
      <c r="O108" s="19"/>
      <c r="P108" s="19"/>
      <c r="Q108" s="19" t="str">
        <f aca="false">IF(O108=M108,"PAYER","A PAYER")</f>
        <v>A PAYER</v>
      </c>
      <c r="R108" s="19"/>
      <c r="S108" s="21"/>
      <c r="T108" s="11"/>
    </row>
    <row r="109" customFormat="false" ht="15.75" hidden="false" customHeight="true" outlineLevel="0" collapsed="false">
      <c r="A109" s="18" t="n">
        <v>116</v>
      </c>
      <c r="B109" s="13" t="n">
        <v>46051</v>
      </c>
      <c r="C109" s="19" t="s">
        <v>28</v>
      </c>
      <c r="D109" s="19" t="s">
        <v>29</v>
      </c>
      <c r="E109" s="19" t="s">
        <v>30</v>
      </c>
      <c r="F109" s="19" t="s">
        <v>38</v>
      </c>
      <c r="G109" s="19" t="s">
        <v>312</v>
      </c>
      <c r="H109" s="19" t="s">
        <v>313</v>
      </c>
      <c r="I109" s="19" t="s">
        <v>314</v>
      </c>
      <c r="J109" s="19"/>
      <c r="K109" s="19"/>
      <c r="L109" s="19"/>
      <c r="M109" s="30" t="n">
        <v>2100000</v>
      </c>
      <c r="N109" s="19"/>
      <c r="O109" s="19"/>
      <c r="P109" s="19"/>
      <c r="Q109" s="19" t="str">
        <f aca="false">IF(O109=M109,"PAYER","A PAYER")</f>
        <v>A PAYER</v>
      </c>
      <c r="R109" s="19"/>
      <c r="S109" s="21"/>
      <c r="T109" s="11"/>
    </row>
    <row r="110" customFormat="false" ht="15.75" hidden="false" customHeight="true" outlineLevel="0" collapsed="false">
      <c r="A110" s="18" t="n">
        <v>117</v>
      </c>
      <c r="B110" s="13" t="n">
        <v>46051</v>
      </c>
      <c r="C110" s="19" t="s">
        <v>23</v>
      </c>
      <c r="D110" s="19" t="s">
        <v>315</v>
      </c>
      <c r="E110" s="19" t="s">
        <v>44</v>
      </c>
      <c r="F110" s="19" t="s">
        <v>31</v>
      </c>
      <c r="G110" s="19" t="s">
        <v>316</v>
      </c>
      <c r="H110" s="19" t="s">
        <v>295</v>
      </c>
      <c r="I110" s="19" t="s">
        <v>317</v>
      </c>
      <c r="J110" s="19"/>
      <c r="K110" s="19"/>
      <c r="L110" s="19"/>
      <c r="M110" s="30" t="n">
        <v>746410</v>
      </c>
      <c r="N110" s="19"/>
      <c r="O110" s="19"/>
      <c r="P110" s="19"/>
      <c r="Q110" s="19" t="str">
        <f aca="false">IF(O110=M110,"PAYER","A PAYER")</f>
        <v>A PAYER</v>
      </c>
      <c r="R110" s="19"/>
      <c r="S110" s="21"/>
      <c r="T110" s="11"/>
    </row>
    <row r="111" customFormat="false" ht="15.75" hidden="false" customHeight="true" outlineLevel="0" collapsed="false">
      <c r="A111" s="18" t="n">
        <v>118</v>
      </c>
      <c r="B111" s="13" t="n">
        <v>46048</v>
      </c>
      <c r="C111" s="19" t="s">
        <v>23</v>
      </c>
      <c r="D111" s="19" t="s">
        <v>318</v>
      </c>
      <c r="E111" s="19" t="s">
        <v>44</v>
      </c>
      <c r="F111" s="19" t="s">
        <v>31</v>
      </c>
      <c r="G111" s="19" t="s">
        <v>319</v>
      </c>
      <c r="H111" s="19" t="s">
        <v>320</v>
      </c>
      <c r="I111" s="19" t="s">
        <v>321</v>
      </c>
      <c r="J111" s="19"/>
      <c r="K111" s="19"/>
      <c r="L111" s="19"/>
      <c r="M111" s="30" t="n">
        <v>80000</v>
      </c>
      <c r="N111" s="19"/>
      <c r="O111" s="19"/>
      <c r="P111" s="19"/>
      <c r="Q111" s="19" t="str">
        <f aca="false">IF(O111=M111,"PAYER","A PAYER")</f>
        <v>A PAYER</v>
      </c>
      <c r="R111" s="19"/>
      <c r="S111" s="21"/>
      <c r="T111" s="11"/>
    </row>
    <row r="112" customFormat="false" ht="15.75" hidden="false" customHeight="true" outlineLevel="0" collapsed="false">
      <c r="A112" s="18" t="n">
        <v>119</v>
      </c>
      <c r="B112" s="13" t="n">
        <v>46052</v>
      </c>
      <c r="C112" s="19" t="s">
        <v>23</v>
      </c>
      <c r="D112" s="19" t="s">
        <v>224</v>
      </c>
      <c r="E112" s="19" t="s">
        <v>225</v>
      </c>
      <c r="F112" s="19" t="s">
        <v>38</v>
      </c>
      <c r="G112" s="19" t="s">
        <v>115</v>
      </c>
      <c r="H112" s="19" t="s">
        <v>322</v>
      </c>
      <c r="I112" s="19" t="s">
        <v>311</v>
      </c>
      <c r="J112" s="19"/>
      <c r="K112" s="19"/>
      <c r="L112" s="19"/>
      <c r="M112" s="30" t="n">
        <v>12907683</v>
      </c>
      <c r="N112" s="19"/>
      <c r="O112" s="19"/>
      <c r="P112" s="19"/>
      <c r="Q112" s="19" t="str">
        <f aca="false">IF(O112=M112,"PAYER","A PAYER")</f>
        <v>A PAYER</v>
      </c>
      <c r="R112" s="19"/>
      <c r="S112" s="21"/>
      <c r="T112" s="11"/>
    </row>
    <row r="113" customFormat="false" ht="15.75" hidden="false" customHeight="true" outlineLevel="0" collapsed="false">
      <c r="A113" s="18" t="n">
        <v>120</v>
      </c>
      <c r="B113" s="24" t="n">
        <v>46055</v>
      </c>
      <c r="C113" s="19" t="s">
        <v>28</v>
      </c>
      <c r="D113" s="19" t="s">
        <v>163</v>
      </c>
      <c r="E113" s="19" t="s">
        <v>68</v>
      </c>
      <c r="F113" s="19" t="s">
        <v>31</v>
      </c>
      <c r="G113" s="19" t="s">
        <v>323</v>
      </c>
      <c r="H113" s="19" t="s">
        <v>324</v>
      </c>
      <c r="I113" s="19" t="s">
        <v>325</v>
      </c>
      <c r="J113" s="19"/>
      <c r="K113" s="19"/>
      <c r="L113" s="19"/>
      <c r="M113" s="31" t="n">
        <v>678000</v>
      </c>
      <c r="N113" s="19"/>
      <c r="O113" s="19"/>
      <c r="P113" s="19"/>
      <c r="Q113" s="19" t="str">
        <f aca="false">IF(O113=M113,"PAYER","A PAYER")</f>
        <v>A PAYER</v>
      </c>
      <c r="R113" s="19"/>
      <c r="S113" s="21"/>
      <c r="T113" s="11"/>
    </row>
    <row r="114" customFormat="false" ht="15.75" hidden="false" customHeight="true" outlineLevel="0" collapsed="false">
      <c r="A114" s="18" t="n">
        <v>121</v>
      </c>
      <c r="B114" s="24" t="n">
        <v>46055</v>
      </c>
      <c r="C114" s="19" t="s">
        <v>28</v>
      </c>
      <c r="D114" s="19" t="s">
        <v>163</v>
      </c>
      <c r="E114" s="19" t="s">
        <v>68</v>
      </c>
      <c r="F114" s="19" t="s">
        <v>31</v>
      </c>
      <c r="G114" s="19" t="s">
        <v>326</v>
      </c>
      <c r="H114" s="19" t="s">
        <v>327</v>
      </c>
      <c r="I114" s="19" t="s">
        <v>328</v>
      </c>
      <c r="J114" s="19"/>
      <c r="K114" s="19"/>
      <c r="L114" s="19"/>
      <c r="M114" s="31" t="n">
        <v>1173420</v>
      </c>
      <c r="N114" s="19"/>
      <c r="O114" s="19"/>
      <c r="P114" s="19"/>
      <c r="Q114" s="19" t="str">
        <f aca="false">IF(O114=M114,"PAYER","A PAYER")</f>
        <v>A PAYER</v>
      </c>
      <c r="R114" s="19"/>
      <c r="S114" s="21"/>
      <c r="T114" s="11"/>
    </row>
    <row r="115" customFormat="false" ht="15.75" hidden="false" customHeight="true" outlineLevel="0" collapsed="false">
      <c r="A115" s="18" t="n">
        <v>122</v>
      </c>
      <c r="B115" s="24" t="n">
        <v>46055</v>
      </c>
      <c r="C115" s="19" t="s">
        <v>28</v>
      </c>
      <c r="D115" s="19" t="s">
        <v>163</v>
      </c>
      <c r="E115" s="19" t="s">
        <v>68</v>
      </c>
      <c r="F115" s="19" t="s">
        <v>31</v>
      </c>
      <c r="G115" s="19" t="s">
        <v>329</v>
      </c>
      <c r="H115" s="19" t="s">
        <v>330</v>
      </c>
      <c r="I115" s="19" t="s">
        <v>331</v>
      </c>
      <c r="J115" s="19"/>
      <c r="K115" s="19"/>
      <c r="L115" s="19"/>
      <c r="M115" s="31" t="n">
        <v>155000</v>
      </c>
      <c r="N115" s="19"/>
      <c r="O115" s="19"/>
      <c r="P115" s="19"/>
      <c r="Q115" s="19" t="str">
        <f aca="false">IF(O115=M115,"PAYER","A PAYER")</f>
        <v>A PAYER</v>
      </c>
      <c r="R115" s="19"/>
      <c r="S115" s="21"/>
      <c r="T115" s="11"/>
    </row>
    <row r="116" customFormat="false" ht="15.75" hidden="false" customHeight="true" outlineLevel="0" collapsed="false">
      <c r="A116" s="18" t="n">
        <v>123</v>
      </c>
      <c r="B116" s="24" t="n">
        <v>46055</v>
      </c>
      <c r="C116" s="19" t="s">
        <v>23</v>
      </c>
      <c r="D116" s="19" t="s">
        <v>332</v>
      </c>
      <c r="E116" s="19" t="s">
        <v>44</v>
      </c>
      <c r="F116" s="19" t="s">
        <v>31</v>
      </c>
      <c r="G116" s="19" t="s">
        <v>333</v>
      </c>
      <c r="H116" s="19" t="s">
        <v>334</v>
      </c>
      <c r="I116" s="19" t="s">
        <v>335</v>
      </c>
      <c r="J116" s="19"/>
      <c r="K116" s="19"/>
      <c r="L116" s="19"/>
      <c r="M116" s="31" t="n">
        <v>270000</v>
      </c>
      <c r="N116" s="19"/>
      <c r="O116" s="19"/>
      <c r="P116" s="19"/>
      <c r="Q116" s="19" t="str">
        <f aca="false">IF(O116=M116,"PAYER","A PAYER")</f>
        <v>A PAYER</v>
      </c>
      <c r="R116" s="19"/>
      <c r="S116" s="21"/>
      <c r="T116" s="11"/>
    </row>
    <row r="117" customFormat="false" ht="15.75" hidden="false" customHeight="true" outlineLevel="0" collapsed="false">
      <c r="A117" s="18" t="n">
        <v>124</v>
      </c>
      <c r="B117" s="24" t="n">
        <v>46055</v>
      </c>
      <c r="C117" s="19" t="s">
        <v>23</v>
      </c>
      <c r="D117" s="32" t="s">
        <v>43</v>
      </c>
      <c r="E117" s="19" t="s">
        <v>44</v>
      </c>
      <c r="F117" s="19" t="s">
        <v>31</v>
      </c>
      <c r="G117" s="19" t="s">
        <v>336</v>
      </c>
      <c r="H117" s="19" t="s">
        <v>337</v>
      </c>
      <c r="I117" s="19" t="s">
        <v>338</v>
      </c>
      <c r="J117" s="19"/>
      <c r="K117" s="19"/>
      <c r="L117" s="19"/>
      <c r="M117" s="31" t="n">
        <v>387563</v>
      </c>
      <c r="N117" s="19"/>
      <c r="O117" s="19"/>
      <c r="P117" s="19"/>
      <c r="Q117" s="19" t="str">
        <f aca="false">IF(O117=M117,"PAYER","A PAYER")</f>
        <v>A PAYER</v>
      </c>
      <c r="R117" s="19"/>
      <c r="S117" s="21"/>
      <c r="T117" s="11"/>
    </row>
    <row r="118" customFormat="false" ht="15.75" hidden="false" customHeight="true" outlineLevel="0" collapsed="false">
      <c r="A118" s="18" t="n">
        <v>125</v>
      </c>
      <c r="B118" s="24" t="n">
        <v>46055</v>
      </c>
      <c r="C118" s="19" t="s">
        <v>28</v>
      </c>
      <c r="D118" s="19" t="s">
        <v>163</v>
      </c>
      <c r="E118" s="19" t="s">
        <v>68</v>
      </c>
      <c r="F118" s="19" t="s">
        <v>38</v>
      </c>
      <c r="G118" s="19" t="s">
        <v>339</v>
      </c>
      <c r="H118" s="19" t="s">
        <v>340</v>
      </c>
      <c r="I118" s="19" t="s">
        <v>341</v>
      </c>
      <c r="J118" s="19"/>
      <c r="K118" s="19"/>
      <c r="L118" s="19"/>
      <c r="M118" s="31" t="n">
        <v>645500</v>
      </c>
      <c r="N118" s="19"/>
      <c r="O118" s="19"/>
      <c r="P118" s="19"/>
      <c r="Q118" s="19" t="str">
        <f aca="false">IF(O118=M118,"PAYER","A PAYER")</f>
        <v>A PAYER</v>
      </c>
      <c r="R118" s="19"/>
      <c r="S118" s="21"/>
      <c r="T118" s="11"/>
    </row>
    <row r="119" customFormat="false" ht="15.75" hidden="false" customHeight="true" outlineLevel="0" collapsed="false">
      <c r="A119" s="18" t="n">
        <v>126</v>
      </c>
      <c r="B119" s="24" t="n">
        <v>46052</v>
      </c>
      <c r="C119" s="19" t="s">
        <v>28</v>
      </c>
      <c r="D119" s="32" t="s">
        <v>156</v>
      </c>
      <c r="E119" s="19" t="s">
        <v>342</v>
      </c>
      <c r="F119" s="19" t="s">
        <v>38</v>
      </c>
      <c r="G119" s="19" t="s">
        <v>343</v>
      </c>
      <c r="H119" s="19" t="s">
        <v>344</v>
      </c>
      <c r="I119" s="19" t="s">
        <v>345</v>
      </c>
      <c r="J119" s="19"/>
      <c r="K119" s="19"/>
      <c r="L119" s="19"/>
      <c r="M119" s="31" t="n">
        <v>274000</v>
      </c>
      <c r="N119" s="19"/>
      <c r="O119" s="19"/>
      <c r="P119" s="19"/>
      <c r="Q119" s="19" t="str">
        <f aca="false">IF(O119=M119,"PAYER","A PAYER")</f>
        <v>A PAYER</v>
      </c>
      <c r="R119" s="19"/>
      <c r="S119" s="21"/>
      <c r="T119" s="11"/>
    </row>
    <row r="120" customFormat="false" ht="15.75" hidden="false" customHeight="true" outlineLevel="0" collapsed="false">
      <c r="A120" s="18" t="n">
        <v>127</v>
      </c>
      <c r="B120" s="24" t="n">
        <v>46052</v>
      </c>
      <c r="C120" s="19" t="s">
        <v>28</v>
      </c>
      <c r="D120" s="32" t="s">
        <v>346</v>
      </c>
      <c r="E120" s="19" t="s">
        <v>342</v>
      </c>
      <c r="F120" s="19" t="s">
        <v>38</v>
      </c>
      <c r="G120" s="19" t="s">
        <v>347</v>
      </c>
      <c r="H120" s="19" t="s">
        <v>344</v>
      </c>
      <c r="I120" s="19" t="s">
        <v>348</v>
      </c>
      <c r="J120" s="19"/>
      <c r="K120" s="19"/>
      <c r="L120" s="19"/>
      <c r="M120" s="31" t="n">
        <v>300000</v>
      </c>
      <c r="N120" s="19"/>
      <c r="O120" s="19"/>
      <c r="P120" s="19"/>
      <c r="Q120" s="19" t="str">
        <f aca="false">IF(O120=M120,"PAYER","A PAYER")</f>
        <v>A PAYER</v>
      </c>
      <c r="R120" s="19"/>
      <c r="S120" s="21"/>
      <c r="T120" s="11"/>
    </row>
    <row r="121" customFormat="false" ht="15.75" hidden="false" customHeight="true" outlineLevel="0" collapsed="false">
      <c r="A121" s="18" t="n">
        <v>128</v>
      </c>
      <c r="B121" s="24" t="s">
        <v>349</v>
      </c>
      <c r="C121" s="19" t="s">
        <v>23</v>
      </c>
      <c r="D121" s="19" t="s">
        <v>74</v>
      </c>
      <c r="E121" s="19" t="s">
        <v>44</v>
      </c>
      <c r="F121" s="32" t="s">
        <v>31</v>
      </c>
      <c r="G121" s="19" t="s">
        <v>142</v>
      </c>
      <c r="H121" s="19" t="s">
        <v>350</v>
      </c>
      <c r="I121" s="19" t="s">
        <v>351</v>
      </c>
      <c r="J121" s="19"/>
      <c r="K121" s="19"/>
      <c r="L121" s="19"/>
      <c r="M121" s="19" t="n">
        <v>4880555</v>
      </c>
      <c r="N121" s="19"/>
      <c r="O121" s="19"/>
      <c r="P121" s="19"/>
      <c r="Q121" s="19" t="str">
        <f aca="false">IF(O121=M121,"PAYER","A PAYER")</f>
        <v>A PAYER</v>
      </c>
      <c r="R121" s="19"/>
      <c r="S121" s="21"/>
      <c r="T121" s="11"/>
    </row>
    <row r="122" customFormat="false" ht="15.75" hidden="false" customHeight="true" outlineLevel="0" collapsed="false">
      <c r="A122" s="18" t="n">
        <v>129</v>
      </c>
      <c r="B122" s="24" t="n">
        <v>46055</v>
      </c>
      <c r="C122" s="19" t="s">
        <v>23</v>
      </c>
      <c r="D122" s="32" t="s">
        <v>200</v>
      </c>
      <c r="E122" s="19" t="s">
        <v>44</v>
      </c>
      <c r="F122" s="19" t="s">
        <v>31</v>
      </c>
      <c r="G122" s="19" t="s">
        <v>352</v>
      </c>
      <c r="H122" s="19" t="s">
        <v>173</v>
      </c>
      <c r="I122" s="19" t="s">
        <v>353</v>
      </c>
      <c r="J122" s="19"/>
      <c r="K122" s="19"/>
      <c r="L122" s="19"/>
      <c r="M122" s="19" t="n">
        <v>2510500</v>
      </c>
      <c r="N122" s="19"/>
      <c r="O122" s="19"/>
      <c r="P122" s="19"/>
      <c r="Q122" s="19" t="str">
        <f aca="false">IF(O122=M122,"PAYER","A PAYER")</f>
        <v>A PAYER</v>
      </c>
      <c r="R122" s="19"/>
      <c r="S122" s="21"/>
      <c r="T122" s="11"/>
    </row>
    <row r="123" customFormat="false" ht="15.75" hidden="false" customHeight="true" outlineLevel="0" collapsed="false">
      <c r="A123" s="18" t="n">
        <v>130</v>
      </c>
      <c r="B123" s="24" t="n">
        <v>46055</v>
      </c>
      <c r="C123" s="19" t="s">
        <v>23</v>
      </c>
      <c r="D123" s="2" t="s">
        <v>200</v>
      </c>
      <c r="E123" s="19" t="s">
        <v>44</v>
      </c>
      <c r="F123" s="19" t="s">
        <v>31</v>
      </c>
      <c r="G123" s="19" t="s">
        <v>354</v>
      </c>
      <c r="H123" s="19" t="s">
        <v>355</v>
      </c>
      <c r="I123" s="19" t="s">
        <v>356</v>
      </c>
      <c r="J123" s="19"/>
      <c r="K123" s="19"/>
      <c r="L123" s="19"/>
      <c r="M123" s="19" t="n">
        <v>894375</v>
      </c>
      <c r="N123" s="19"/>
      <c r="O123" s="19"/>
      <c r="P123" s="19"/>
      <c r="Q123" s="19" t="str">
        <f aca="false">IF(O123=M123,"PAYER","A PAYER")</f>
        <v>A PAYER</v>
      </c>
      <c r="R123" s="19"/>
      <c r="S123" s="21"/>
      <c r="T123" s="11"/>
    </row>
    <row r="124" customFormat="false" ht="15.75" hidden="false" customHeight="true" outlineLevel="0" collapsed="false">
      <c r="A124" s="18" t="n">
        <v>131</v>
      </c>
      <c r="B124" s="24" t="n">
        <v>46055</v>
      </c>
      <c r="C124" s="19" t="s">
        <v>23</v>
      </c>
      <c r="D124" s="19" t="s">
        <v>43</v>
      </c>
      <c r="E124" s="19" t="s">
        <v>44</v>
      </c>
      <c r="F124" s="19" t="s">
        <v>31</v>
      </c>
      <c r="G124" s="19" t="s">
        <v>271</v>
      </c>
      <c r="H124" s="19" t="s">
        <v>357</v>
      </c>
      <c r="I124" s="19" t="s">
        <v>358</v>
      </c>
      <c r="J124" s="19"/>
      <c r="K124" s="19"/>
      <c r="L124" s="19"/>
      <c r="M124" s="19" t="n">
        <v>105000</v>
      </c>
      <c r="N124" s="19"/>
      <c r="O124" s="19"/>
      <c r="P124" s="19"/>
      <c r="Q124" s="19" t="str">
        <f aca="false">IF(O124=M124,"PAYER","A PAYER")</f>
        <v>A PAYER</v>
      </c>
      <c r="R124" s="19"/>
      <c r="S124" s="21"/>
      <c r="T124" s="11"/>
    </row>
    <row r="125" customFormat="false" ht="15.75" hidden="false" customHeight="true" outlineLevel="0" collapsed="false">
      <c r="A125" s="18" t="n">
        <v>132</v>
      </c>
      <c r="B125" s="24" t="n">
        <v>46055</v>
      </c>
      <c r="C125" s="19" t="s">
        <v>23</v>
      </c>
      <c r="D125" s="2" t="s">
        <v>52</v>
      </c>
      <c r="E125" s="19" t="s">
        <v>44</v>
      </c>
      <c r="F125" s="19" t="s">
        <v>31</v>
      </c>
      <c r="G125" s="19" t="s">
        <v>142</v>
      </c>
      <c r="H125" s="19" t="s">
        <v>359</v>
      </c>
      <c r="I125" s="19" t="s">
        <v>360</v>
      </c>
      <c r="J125" s="19"/>
      <c r="K125" s="19"/>
      <c r="L125" s="19"/>
      <c r="M125" s="19" t="n">
        <v>40671</v>
      </c>
      <c r="N125" s="19"/>
      <c r="O125" s="19"/>
      <c r="P125" s="19"/>
      <c r="Q125" s="19" t="str">
        <f aca="false">IF(O125=M125,"PAYER","A PAYER")</f>
        <v>A PAYER</v>
      </c>
      <c r="R125" s="19"/>
      <c r="S125" s="21"/>
      <c r="T125" s="11"/>
    </row>
    <row r="126" customFormat="false" ht="15.75" hidden="false" customHeight="true" outlineLevel="0" collapsed="false">
      <c r="A126" s="18" t="n">
        <v>133</v>
      </c>
      <c r="B126" s="19"/>
      <c r="C126" s="33" t="s">
        <v>23</v>
      </c>
      <c r="D126" s="34"/>
      <c r="E126" s="19"/>
      <c r="F126" s="19"/>
      <c r="G126" s="19" t="s">
        <v>361</v>
      </c>
      <c r="H126" s="34"/>
      <c r="I126" s="34"/>
      <c r="J126" s="34"/>
      <c r="K126" s="34"/>
      <c r="L126" s="19"/>
      <c r="M126" s="19"/>
      <c r="N126" s="19"/>
      <c r="O126" s="19" t="n">
        <v>38163720</v>
      </c>
      <c r="P126" s="34"/>
      <c r="Q126" s="19" t="str">
        <f aca="false">IF(O126=M126,"PAYER","A PAYER")</f>
        <v>A PAYER</v>
      </c>
      <c r="R126" s="19"/>
      <c r="S126" s="21" t="s">
        <v>362</v>
      </c>
      <c r="T126" s="35"/>
      <c r="U126" s="19"/>
      <c r="V126" s="19"/>
      <c r="W126" s="36"/>
      <c r="X126" s="21"/>
    </row>
    <row r="127" customFormat="false" ht="15.75" hidden="false" customHeight="true" outlineLevel="0" collapsed="false">
      <c r="A127" s="18" t="n">
        <v>134</v>
      </c>
      <c r="B127" s="24" t="n">
        <v>45950</v>
      </c>
      <c r="C127" s="19" t="s">
        <v>23</v>
      </c>
      <c r="D127" s="34"/>
      <c r="E127" s="19"/>
      <c r="F127" s="19"/>
      <c r="G127" s="19" t="s">
        <v>363</v>
      </c>
      <c r="H127" s="19" t="s">
        <v>364</v>
      </c>
      <c r="I127" s="34"/>
      <c r="J127" s="34"/>
      <c r="K127" s="34"/>
      <c r="L127" s="19" t="s">
        <v>365</v>
      </c>
      <c r="M127" s="19"/>
      <c r="N127" s="19" t="n">
        <v>77883852.6</v>
      </c>
      <c r="O127" s="19" t="n">
        <v>107747996.4</v>
      </c>
      <c r="P127" s="34"/>
      <c r="Q127" s="19" t="str">
        <f aca="false">IF(O127=M127,"PAYER","A PAYER")</f>
        <v>A PAYER</v>
      </c>
      <c r="R127" s="19"/>
      <c r="S127" s="21" t="s">
        <v>366</v>
      </c>
      <c r="T127" s="35"/>
      <c r="U127" s="19"/>
      <c r="V127" s="19"/>
      <c r="W127" s="36"/>
      <c r="X127" s="21"/>
    </row>
    <row r="128" customFormat="false" ht="15.75" hidden="false" customHeight="true" outlineLevel="0" collapsed="false">
      <c r="A128" s="18" t="n">
        <v>135</v>
      </c>
      <c r="B128" s="24" t="n">
        <v>45951</v>
      </c>
      <c r="C128" s="19" t="s">
        <v>23</v>
      </c>
      <c r="D128" s="34"/>
      <c r="E128" s="19"/>
      <c r="F128" s="19"/>
      <c r="G128" s="19" t="s">
        <v>367</v>
      </c>
      <c r="H128" s="19" t="s">
        <v>368</v>
      </c>
      <c r="I128" s="34"/>
      <c r="J128" s="34"/>
      <c r="K128" s="34"/>
      <c r="L128" s="19" t="s">
        <v>369</v>
      </c>
      <c r="M128" s="19"/>
      <c r="N128" s="19" t="n">
        <v>17805693.6</v>
      </c>
      <c r="O128" s="19" t="n">
        <v>23885906.4</v>
      </c>
      <c r="P128" s="34"/>
      <c r="Q128" s="19" t="str">
        <f aca="false">IF(O128=M128,"PAYER","A PAYER")</f>
        <v>A PAYER</v>
      </c>
      <c r="R128" s="19"/>
      <c r="S128" s="21" t="s">
        <v>370</v>
      </c>
      <c r="T128" s="35"/>
      <c r="U128" s="19"/>
      <c r="V128" s="19"/>
      <c r="W128" s="36"/>
      <c r="X128" s="21"/>
    </row>
    <row r="129" customFormat="false" ht="15.75" hidden="false" customHeight="true" outlineLevel="0" collapsed="false">
      <c r="A129" s="18" t="n">
        <v>136</v>
      </c>
      <c r="B129" s="24" t="n">
        <v>45466</v>
      </c>
      <c r="C129" s="19" t="s">
        <v>23</v>
      </c>
      <c r="D129" s="34"/>
      <c r="E129" s="19"/>
      <c r="F129" s="19"/>
      <c r="G129" s="19" t="s">
        <v>371</v>
      </c>
      <c r="H129" s="19" t="s">
        <v>372</v>
      </c>
      <c r="I129" s="34"/>
      <c r="J129" s="34"/>
      <c r="K129" s="34"/>
      <c r="L129" s="19" t="s">
        <v>373</v>
      </c>
      <c r="M129" s="19"/>
      <c r="N129" s="19" t="n">
        <v>16587622.8</v>
      </c>
      <c r="O129" s="19" t="n">
        <v>50855695.38</v>
      </c>
      <c r="P129" s="34"/>
      <c r="Q129" s="19" t="str">
        <f aca="false">IF(O129=M129,"PAYER","A PAYER")</f>
        <v>A PAYER</v>
      </c>
      <c r="R129" s="19"/>
      <c r="S129" s="21" t="s">
        <v>374</v>
      </c>
      <c r="T129" s="35"/>
      <c r="U129" s="19"/>
      <c r="V129" s="19"/>
      <c r="W129" s="36"/>
      <c r="X129" s="21"/>
    </row>
    <row r="130" customFormat="false" ht="15.75" hidden="false" customHeight="true" outlineLevel="0" collapsed="false">
      <c r="A130" s="18" t="n">
        <v>137</v>
      </c>
      <c r="B130" s="24" t="n">
        <v>45919</v>
      </c>
      <c r="C130" s="19" t="s">
        <v>23</v>
      </c>
      <c r="D130" s="34"/>
      <c r="E130" s="19"/>
      <c r="F130" s="19"/>
      <c r="G130" s="19" t="s">
        <v>371</v>
      </c>
      <c r="H130" s="19" t="s">
        <v>372</v>
      </c>
      <c r="I130" s="34"/>
      <c r="J130" s="34"/>
      <c r="K130" s="34"/>
      <c r="L130" s="19" t="s">
        <v>375</v>
      </c>
      <c r="M130" s="19"/>
      <c r="N130" s="37" t="n">
        <v>46083</v>
      </c>
      <c r="O130" s="38" t="s">
        <v>23</v>
      </c>
      <c r="P130" s="38" t="s">
        <v>376</v>
      </c>
      <c r="Q130" s="38" t="s">
        <v>61</v>
      </c>
      <c r="R130" s="38" t="s">
        <v>377</v>
      </c>
      <c r="S130" s="38" t="s">
        <v>378</v>
      </c>
      <c r="T130" s="38"/>
      <c r="U130" s="39" t="n">
        <v>355000</v>
      </c>
      <c r="V130" s="19"/>
      <c r="W130" s="36"/>
      <c r="X130" s="21"/>
    </row>
    <row r="131" customFormat="false" ht="15.75" hidden="false" customHeight="true" outlineLevel="0" collapsed="false">
      <c r="A131" s="18" t="n">
        <v>138</v>
      </c>
      <c r="B131" s="24" t="n">
        <v>45524</v>
      </c>
      <c r="C131" s="19" t="s">
        <v>379</v>
      </c>
      <c r="D131" s="34"/>
      <c r="E131" s="19"/>
      <c r="F131" s="19"/>
      <c r="G131" s="19" t="s">
        <v>380</v>
      </c>
      <c r="H131" s="19" t="s">
        <v>381</v>
      </c>
      <c r="I131" s="34"/>
      <c r="J131" s="34"/>
      <c r="K131" s="34"/>
      <c r="L131" s="19" t="s">
        <v>382</v>
      </c>
      <c r="M131" s="19"/>
      <c r="N131" s="37" t="n">
        <v>46083</v>
      </c>
      <c r="O131" s="38" t="s">
        <v>23</v>
      </c>
      <c r="P131" s="38" t="s">
        <v>38</v>
      </c>
      <c r="Q131" s="38" t="s">
        <v>309</v>
      </c>
      <c r="R131" s="38" t="s">
        <v>383</v>
      </c>
      <c r="S131" s="38" t="s">
        <v>384</v>
      </c>
      <c r="T131" s="38"/>
      <c r="U131" s="39" t="n">
        <v>415650</v>
      </c>
      <c r="V131" s="19"/>
      <c r="W131" s="36"/>
      <c r="X131" s="21"/>
    </row>
    <row r="132" customFormat="false" ht="15.75" hidden="false" customHeight="true" outlineLevel="0" collapsed="false">
      <c r="A132" s="18" t="n">
        <v>139</v>
      </c>
      <c r="B132" s="24" t="n">
        <v>45993</v>
      </c>
      <c r="C132" s="19" t="s">
        <v>28</v>
      </c>
      <c r="D132" s="19" t="s">
        <v>224</v>
      </c>
      <c r="E132" s="19" t="s">
        <v>225</v>
      </c>
      <c r="F132" s="19" t="s">
        <v>38</v>
      </c>
      <c r="G132" s="19" t="s">
        <v>385</v>
      </c>
      <c r="H132" s="19" t="s">
        <v>386</v>
      </c>
      <c r="I132" s="19" t="s">
        <v>387</v>
      </c>
      <c r="J132" s="19"/>
      <c r="K132" s="19"/>
      <c r="L132" s="19"/>
      <c r="M132" s="19" t="n">
        <v>15241895.6</v>
      </c>
      <c r="N132" s="37" t="n">
        <v>46083</v>
      </c>
      <c r="O132" s="38" t="s">
        <v>28</v>
      </c>
      <c r="P132" s="38" t="s">
        <v>210</v>
      </c>
      <c r="Q132" s="38" t="s">
        <v>329</v>
      </c>
      <c r="R132" s="38" t="s">
        <v>388</v>
      </c>
      <c r="S132" s="38" t="s">
        <v>389</v>
      </c>
      <c r="T132" s="38"/>
      <c r="U132" s="39" t="n">
        <v>136300</v>
      </c>
    </row>
    <row r="133" customFormat="false" ht="15.75" hidden="false" customHeight="true" outlineLevel="0" collapsed="false">
      <c r="A133" s="18" t="n">
        <v>140</v>
      </c>
      <c r="B133" s="19"/>
      <c r="C133" s="19" t="s">
        <v>379</v>
      </c>
      <c r="D133" s="34"/>
      <c r="E133" s="19"/>
      <c r="F133" s="19"/>
      <c r="G133" s="19" t="s">
        <v>390</v>
      </c>
      <c r="H133" s="34"/>
      <c r="I133" s="19"/>
      <c r="J133" s="19"/>
      <c r="K133" s="19"/>
      <c r="L133" s="19"/>
      <c r="M133" s="19" t="s">
        <v>391</v>
      </c>
      <c r="N133" s="37" t="n">
        <v>46083</v>
      </c>
      <c r="O133" s="38" t="s">
        <v>23</v>
      </c>
      <c r="P133" s="38" t="s">
        <v>38</v>
      </c>
      <c r="Q133" s="38" t="s">
        <v>299</v>
      </c>
      <c r="R133" s="38" t="s">
        <v>392</v>
      </c>
      <c r="S133" s="38" t="s">
        <v>393</v>
      </c>
      <c r="T133" s="38"/>
      <c r="U133" s="39" t="n">
        <v>145000</v>
      </c>
    </row>
    <row r="134" customFormat="false" ht="15.75" hidden="false" customHeight="true" outlineLevel="0" collapsed="false">
      <c r="A134" s="18" t="n">
        <v>141</v>
      </c>
      <c r="B134" s="19"/>
      <c r="C134" s="19" t="s">
        <v>379</v>
      </c>
      <c r="D134" s="34"/>
      <c r="E134" s="19"/>
      <c r="F134" s="19"/>
      <c r="G134" s="19" t="s">
        <v>394</v>
      </c>
      <c r="H134" s="34"/>
      <c r="I134" s="19"/>
      <c r="J134" s="19"/>
      <c r="K134" s="19"/>
      <c r="L134" s="19"/>
      <c r="M134" s="19" t="s">
        <v>395</v>
      </c>
      <c r="N134" s="37" t="n">
        <v>46083</v>
      </c>
      <c r="O134" s="38" t="s">
        <v>23</v>
      </c>
      <c r="P134" s="38" t="s">
        <v>396</v>
      </c>
      <c r="Q134" s="38" t="s">
        <v>204</v>
      </c>
      <c r="R134" s="38" t="s">
        <v>397</v>
      </c>
      <c r="S134" s="38" t="s">
        <v>398</v>
      </c>
      <c r="T134" s="38"/>
      <c r="U134" s="39" t="n">
        <v>152000</v>
      </c>
    </row>
    <row r="135" customFormat="false" ht="15.75" hidden="false" customHeight="true" outlineLevel="0" collapsed="false">
      <c r="A135" s="18" t="n">
        <v>142</v>
      </c>
      <c r="B135" s="19"/>
      <c r="C135" s="19" t="s">
        <v>379</v>
      </c>
      <c r="D135" s="34"/>
      <c r="E135" s="19"/>
      <c r="F135" s="19"/>
      <c r="G135" s="19" t="s">
        <v>399</v>
      </c>
      <c r="H135" s="34"/>
      <c r="I135" s="19"/>
      <c r="J135" s="19"/>
      <c r="K135" s="19"/>
      <c r="L135" s="19"/>
      <c r="M135" s="19" t="s">
        <v>400</v>
      </c>
      <c r="N135" s="37" t="n">
        <v>46083</v>
      </c>
      <c r="O135" s="38" t="s">
        <v>23</v>
      </c>
      <c r="P135" s="38" t="s">
        <v>401</v>
      </c>
      <c r="Q135" s="38" t="s">
        <v>176</v>
      </c>
      <c r="R135" s="38" t="s">
        <v>402</v>
      </c>
      <c r="S135" s="38" t="s">
        <v>403</v>
      </c>
      <c r="T135" s="38"/>
      <c r="U135" s="39" t="n">
        <v>15449210</v>
      </c>
    </row>
    <row r="136" customFormat="false" ht="15.75" hidden="false" customHeight="true" outlineLevel="0" collapsed="false">
      <c r="A136" s="18" t="n">
        <v>143</v>
      </c>
      <c r="B136" s="19"/>
      <c r="C136" s="19" t="s">
        <v>379</v>
      </c>
      <c r="D136" s="34"/>
      <c r="E136" s="19"/>
      <c r="F136" s="19"/>
      <c r="G136" s="19" t="s">
        <v>404</v>
      </c>
      <c r="H136" s="34"/>
      <c r="I136" s="19"/>
      <c r="J136" s="19"/>
      <c r="K136" s="19"/>
      <c r="L136" s="19"/>
      <c r="M136" s="19" t="s">
        <v>405</v>
      </c>
      <c r="N136" s="19"/>
      <c r="O136" s="19"/>
      <c r="P136" s="19"/>
      <c r="Q136" s="19" t="str">
        <f aca="false">IF(O136=M136,"PAYER","A PAYER")</f>
        <v>A PAYER</v>
      </c>
      <c r="R136" s="19"/>
      <c r="S136" s="21"/>
      <c r="T136" s="11"/>
    </row>
    <row r="137" customFormat="false" ht="15.75" hidden="false" customHeight="true" outlineLevel="0" collapsed="false">
      <c r="A137" s="18" t="n">
        <v>144</v>
      </c>
      <c r="B137" s="19"/>
      <c r="C137" s="19" t="s">
        <v>379</v>
      </c>
      <c r="D137" s="34"/>
      <c r="E137" s="19"/>
      <c r="F137" s="19"/>
      <c r="G137" s="19" t="s">
        <v>406</v>
      </c>
      <c r="H137" s="34"/>
      <c r="I137" s="19"/>
      <c r="J137" s="19"/>
      <c r="K137" s="19"/>
      <c r="L137" s="19"/>
      <c r="M137" s="19" t="s">
        <v>407</v>
      </c>
      <c r="N137" s="19"/>
      <c r="O137" s="19"/>
      <c r="P137" s="19"/>
      <c r="Q137" s="19" t="str">
        <f aca="false">IF(O137=M137,"PAYER","A PAYER")</f>
        <v>A PAYER</v>
      </c>
      <c r="R137" s="19"/>
      <c r="S137" s="21"/>
      <c r="T137" s="11"/>
    </row>
    <row r="138" customFormat="false" ht="15.75" hidden="false" customHeight="true" outlineLevel="0" collapsed="false">
      <c r="A138" s="18" t="n">
        <v>145</v>
      </c>
      <c r="B138" s="19"/>
      <c r="C138" s="19" t="s">
        <v>379</v>
      </c>
      <c r="D138" s="34"/>
      <c r="E138" s="19"/>
      <c r="F138" s="19"/>
      <c r="G138" s="19" t="s">
        <v>408</v>
      </c>
      <c r="H138" s="34"/>
      <c r="I138" s="19"/>
      <c r="J138" s="19"/>
      <c r="K138" s="19"/>
      <c r="L138" s="19"/>
      <c r="M138" s="19" t="s">
        <v>409</v>
      </c>
      <c r="N138" s="19"/>
      <c r="O138" s="19"/>
      <c r="P138" s="19"/>
      <c r="Q138" s="19" t="str">
        <f aca="false">IF(O138=M138,"PAYER","A PAYER")</f>
        <v>A PAYER</v>
      </c>
      <c r="R138" s="19"/>
      <c r="S138" s="21"/>
      <c r="T138" s="11"/>
    </row>
    <row r="139" customFormat="false" ht="15.75" hidden="false" customHeight="true" outlineLevel="0" collapsed="false">
      <c r="A139" s="18" t="n">
        <v>146</v>
      </c>
      <c r="B139" s="19"/>
      <c r="C139" s="33" t="s">
        <v>23</v>
      </c>
      <c r="D139" s="34"/>
      <c r="E139" s="19"/>
      <c r="F139" s="34"/>
      <c r="G139" s="19" t="s">
        <v>410</v>
      </c>
      <c r="H139" s="34"/>
      <c r="I139" s="19"/>
      <c r="J139" s="19"/>
      <c r="K139" s="34"/>
      <c r="L139" s="34"/>
      <c r="M139" s="20" t="n">
        <v>-557</v>
      </c>
      <c r="N139" s="19"/>
      <c r="O139" s="19" t="n">
        <v>-557</v>
      </c>
      <c r="P139" s="19"/>
      <c r="Q139" s="19" t="str">
        <f aca="false">IF(O139=M139,"PAYER","A PAYER")</f>
        <v>PAYER</v>
      </c>
      <c r="R139" s="19"/>
      <c r="S139" s="21"/>
      <c r="T139" s="35"/>
      <c r="U139" s="36"/>
    </row>
    <row r="140" customFormat="false" ht="15.75" hidden="false" customHeight="true" outlineLevel="0" collapsed="false">
      <c r="A140" s="18" t="n">
        <v>147</v>
      </c>
      <c r="B140" s="19"/>
      <c r="C140" s="33" t="s">
        <v>23</v>
      </c>
      <c r="D140" s="34"/>
      <c r="E140" s="19"/>
      <c r="F140" s="34"/>
      <c r="G140" s="22" t="s">
        <v>411</v>
      </c>
      <c r="H140" s="34"/>
      <c r="I140" s="19"/>
      <c r="J140" s="19"/>
      <c r="K140" s="34"/>
      <c r="L140" s="34"/>
      <c r="M140" s="20" t="s">
        <v>412</v>
      </c>
      <c r="N140" s="19"/>
      <c r="O140" s="20" t="n">
        <v>3350755.1</v>
      </c>
      <c r="P140" s="19"/>
      <c r="Q140" s="19" t="str">
        <f aca="false">IF(O140=M140,"PAYER","A PAYER")</f>
        <v>A PAYER</v>
      </c>
      <c r="R140" s="19"/>
      <c r="S140" s="21"/>
      <c r="T140" s="35"/>
      <c r="U140" s="36"/>
    </row>
    <row r="141" customFormat="false" ht="15.75" hidden="false" customHeight="true" outlineLevel="0" collapsed="false">
      <c r="A141" s="18" t="n">
        <v>148</v>
      </c>
      <c r="B141" s="19"/>
      <c r="C141" s="33" t="s">
        <v>23</v>
      </c>
      <c r="D141" s="34"/>
      <c r="E141" s="19"/>
      <c r="F141" s="34"/>
      <c r="G141" s="19" t="s">
        <v>413</v>
      </c>
      <c r="H141" s="34" t="s">
        <v>46</v>
      </c>
      <c r="I141" s="19"/>
      <c r="J141" s="19"/>
      <c r="K141" s="34"/>
      <c r="L141" s="34"/>
      <c r="M141" s="20" t="s">
        <v>414</v>
      </c>
      <c r="N141" s="19"/>
      <c r="O141" s="20" t="n">
        <v>3331725</v>
      </c>
      <c r="P141" s="19"/>
      <c r="Q141" s="19" t="str">
        <f aca="false">IF(O141=M141,"PAYER","A PAYER")</f>
        <v>A PAYER</v>
      </c>
      <c r="R141" s="19"/>
      <c r="S141" s="21"/>
      <c r="T141" s="35"/>
      <c r="U141" s="36"/>
    </row>
    <row r="142" customFormat="false" ht="15.75" hidden="false" customHeight="true" outlineLevel="0" collapsed="false">
      <c r="A142" s="18" t="n">
        <v>149</v>
      </c>
      <c r="B142" s="19"/>
      <c r="C142" s="33" t="s">
        <v>23</v>
      </c>
      <c r="D142" s="34"/>
      <c r="E142" s="19"/>
      <c r="F142" s="34"/>
      <c r="G142" s="19" t="s">
        <v>415</v>
      </c>
      <c r="H142" s="34"/>
      <c r="I142" s="19"/>
      <c r="J142" s="19"/>
      <c r="K142" s="34"/>
      <c r="L142" s="34"/>
      <c r="M142" s="20" t="s">
        <v>416</v>
      </c>
      <c r="N142" s="19"/>
      <c r="O142" s="20" t="n">
        <v>3935.97</v>
      </c>
      <c r="P142" s="19"/>
      <c r="Q142" s="19" t="str">
        <f aca="false">IF(O142=M142,"PAYER","A PAYER")</f>
        <v>A PAYER</v>
      </c>
      <c r="R142" s="19"/>
      <c r="S142" s="21"/>
      <c r="T142" s="35"/>
      <c r="U142" s="36"/>
    </row>
    <row r="143" customFormat="false" ht="15.75" hidden="false" customHeight="true" outlineLevel="0" collapsed="false">
      <c r="A143" s="18" t="n">
        <v>150</v>
      </c>
      <c r="B143" s="19"/>
      <c r="C143" s="33" t="s">
        <v>23</v>
      </c>
      <c r="D143" s="34"/>
      <c r="E143" s="19"/>
      <c r="F143" s="34"/>
      <c r="G143" s="19" t="s">
        <v>417</v>
      </c>
      <c r="H143" s="34"/>
      <c r="I143" s="19"/>
      <c r="J143" s="19"/>
      <c r="K143" s="34"/>
      <c r="L143" s="34"/>
      <c r="M143" s="20" t="s">
        <v>418</v>
      </c>
      <c r="N143" s="19"/>
      <c r="O143" s="20" t="n">
        <v>20109921.07</v>
      </c>
      <c r="P143" s="19"/>
      <c r="Q143" s="19" t="str">
        <f aca="false">IF(O143=M143,"PAYER","A PAYER")</f>
        <v>A PAYER</v>
      </c>
      <c r="R143" s="19"/>
      <c r="S143" s="21"/>
      <c r="T143" s="35"/>
      <c r="U143" s="36"/>
    </row>
    <row r="144" customFormat="false" ht="15.75" hidden="false" customHeight="true" outlineLevel="0" collapsed="false">
      <c r="A144" s="18" t="n">
        <v>151</v>
      </c>
      <c r="B144" s="19"/>
      <c r="C144" s="33" t="s">
        <v>23</v>
      </c>
      <c r="D144" s="34"/>
      <c r="E144" s="19"/>
      <c r="F144" s="34"/>
      <c r="G144" s="19" t="s">
        <v>419</v>
      </c>
      <c r="H144" s="34"/>
      <c r="I144" s="19"/>
      <c r="J144" s="19"/>
      <c r="K144" s="34"/>
      <c r="L144" s="34"/>
      <c r="M144" s="20" t="s">
        <v>420</v>
      </c>
      <c r="N144" s="19"/>
      <c r="O144" s="20" t="n">
        <v>-1138320</v>
      </c>
      <c r="P144" s="19"/>
      <c r="Q144" s="19" t="str">
        <f aca="false">IF(O144=M144,"PAYER","A PAYER")</f>
        <v>A PAYER</v>
      </c>
      <c r="R144" s="19"/>
      <c r="S144" s="21"/>
      <c r="T144" s="35"/>
      <c r="U144" s="36"/>
    </row>
    <row r="145" customFormat="false" ht="15.75" hidden="false" customHeight="true" outlineLevel="0" collapsed="false">
      <c r="A145" s="18" t="n">
        <v>152</v>
      </c>
      <c r="B145" s="19"/>
      <c r="C145" s="33" t="s">
        <v>23</v>
      </c>
      <c r="D145" s="34"/>
      <c r="E145" s="19"/>
      <c r="F145" s="34"/>
      <c r="G145" s="19" t="s">
        <v>421</v>
      </c>
      <c r="H145" s="34"/>
      <c r="I145" s="19"/>
      <c r="J145" s="19"/>
      <c r="K145" s="34"/>
      <c r="L145" s="34"/>
      <c r="M145" s="20" t="s">
        <v>422</v>
      </c>
      <c r="N145" s="19"/>
      <c r="O145" s="20" t="n">
        <v>65886882</v>
      </c>
      <c r="P145" s="19"/>
      <c r="Q145" s="19" t="str">
        <f aca="false">IF(O145=M145,"PAYER","A PAYER")</f>
        <v>A PAYER</v>
      </c>
      <c r="R145" s="19"/>
      <c r="S145" s="21"/>
      <c r="T145" s="35"/>
      <c r="U145" s="36"/>
    </row>
    <row r="146" customFormat="false" ht="15.75" hidden="false" customHeight="true" outlineLevel="0" collapsed="false">
      <c r="A146" s="18" t="n">
        <v>153</v>
      </c>
      <c r="B146" s="19"/>
      <c r="C146" s="33" t="s">
        <v>23</v>
      </c>
      <c r="D146" s="34"/>
      <c r="E146" s="19"/>
      <c r="F146" s="34"/>
      <c r="G146" s="19" t="s">
        <v>423</v>
      </c>
      <c r="H146" s="19"/>
      <c r="I146" s="19"/>
      <c r="J146" s="19"/>
      <c r="K146" s="34"/>
      <c r="L146" s="34"/>
      <c r="M146" s="20" t="s">
        <v>424</v>
      </c>
      <c r="N146" s="19"/>
      <c r="O146" s="20" t="n">
        <v>-17986341.19</v>
      </c>
      <c r="P146" s="19"/>
      <c r="Q146" s="19" t="str">
        <f aca="false">IF(O146=M146,"PAYER","A PAYER")</f>
        <v>A PAYER</v>
      </c>
      <c r="R146" s="19"/>
      <c r="S146" s="21"/>
      <c r="T146" s="35"/>
      <c r="U146" s="36"/>
    </row>
    <row r="147" customFormat="false" ht="15.75" hidden="false" customHeight="true" outlineLevel="0" collapsed="false">
      <c r="A147" s="18" t="n">
        <v>154</v>
      </c>
      <c r="B147" s="24" t="n">
        <v>45992</v>
      </c>
      <c r="C147" s="33" t="s">
        <v>23</v>
      </c>
      <c r="D147" s="19" t="s">
        <v>74</v>
      </c>
      <c r="E147" s="19" t="s">
        <v>44</v>
      </c>
      <c r="F147" s="19" t="s">
        <v>31</v>
      </c>
      <c r="G147" s="19" t="s">
        <v>425</v>
      </c>
      <c r="H147" s="19"/>
      <c r="I147" s="19" t="s">
        <v>426</v>
      </c>
      <c r="J147" s="19"/>
      <c r="K147" s="34"/>
      <c r="L147" s="34"/>
      <c r="M147" s="20" t="n">
        <f aca="false">13472*655.957</f>
        <v>8837052.704</v>
      </c>
      <c r="N147" s="19"/>
      <c r="O147" s="20" t="n">
        <f aca="false">13472*655.957</f>
        <v>8837052.704</v>
      </c>
      <c r="P147" s="19"/>
      <c r="Q147" s="19" t="str">
        <f aca="false">IF(O147=M147,"PAYER","A PAYER")</f>
        <v>PAYER</v>
      </c>
      <c r="R147" s="19"/>
      <c r="S147" s="21"/>
      <c r="T147" s="35"/>
      <c r="U147" s="36"/>
    </row>
    <row r="148" customFormat="false" ht="15.75" hidden="false" customHeight="true" outlineLevel="0" collapsed="false">
      <c r="A148" s="18" t="n">
        <v>155</v>
      </c>
      <c r="B148" s="19"/>
      <c r="C148" s="33" t="s">
        <v>23</v>
      </c>
      <c r="D148" s="34"/>
      <c r="E148" s="19"/>
      <c r="F148" s="34"/>
      <c r="G148" s="19" t="s">
        <v>427</v>
      </c>
      <c r="H148" s="19"/>
      <c r="I148" s="19"/>
      <c r="J148" s="19"/>
      <c r="K148" s="34"/>
      <c r="L148" s="34"/>
      <c r="M148" s="20" t="s">
        <v>428</v>
      </c>
      <c r="N148" s="19"/>
      <c r="O148" s="20" t="n">
        <v>-1164784.94</v>
      </c>
      <c r="P148" s="19"/>
      <c r="Q148" s="19" t="str">
        <f aca="false">IF(O148=M148,"PAYER","A PAYER")</f>
        <v>A PAYER</v>
      </c>
      <c r="R148" s="19"/>
      <c r="S148" s="21"/>
      <c r="T148" s="35"/>
      <c r="U148" s="36"/>
    </row>
    <row r="149" customFormat="false" ht="15.75" hidden="false" customHeight="true" outlineLevel="0" collapsed="false">
      <c r="A149" s="18" t="n">
        <v>156</v>
      </c>
      <c r="B149" s="19"/>
      <c r="C149" s="33" t="s">
        <v>23</v>
      </c>
      <c r="D149" s="34"/>
      <c r="E149" s="19"/>
      <c r="F149" s="19"/>
      <c r="G149" s="19" t="s">
        <v>429</v>
      </c>
      <c r="H149" s="34"/>
      <c r="I149" s="34"/>
      <c r="J149" s="34"/>
      <c r="K149" s="34"/>
      <c r="L149" s="34"/>
      <c r="M149" s="20" t="s">
        <v>430</v>
      </c>
      <c r="N149" s="19"/>
      <c r="O149" s="20" t="n">
        <v>121381303</v>
      </c>
      <c r="P149" s="19"/>
      <c r="Q149" s="19" t="str">
        <f aca="false">IF(O149=M149,"PAYER","A PAYER")</f>
        <v>A PAYER</v>
      </c>
      <c r="R149" s="19"/>
      <c r="S149" s="21"/>
      <c r="T149" s="11"/>
    </row>
    <row r="150" customFormat="false" ht="15.75" hidden="false" customHeight="true" outlineLevel="0" collapsed="false">
      <c r="A150" s="18" t="n">
        <v>157</v>
      </c>
      <c r="B150" s="34"/>
      <c r="C150" s="33" t="s">
        <v>23</v>
      </c>
      <c r="D150" s="34"/>
      <c r="E150" s="19"/>
      <c r="F150" s="19"/>
      <c r="G150" s="19" t="s">
        <v>431</v>
      </c>
      <c r="H150" s="34"/>
      <c r="I150" s="34"/>
      <c r="J150" s="34"/>
      <c r="K150" s="34"/>
      <c r="L150" s="34"/>
      <c r="M150" s="20" t="s">
        <v>432</v>
      </c>
      <c r="N150" s="19"/>
      <c r="O150" s="20" t="n">
        <v>1264000</v>
      </c>
      <c r="P150" s="34"/>
      <c r="Q150" s="19" t="str">
        <f aca="false">IF(O150=M150,"PAYER","A PAYER")</f>
        <v>A PAYER</v>
      </c>
      <c r="R150" s="34"/>
      <c r="S150" s="40"/>
      <c r="T150" s="11"/>
    </row>
    <row r="151" customFormat="false" ht="15.75" hidden="false" customHeight="true" outlineLevel="0" collapsed="false">
      <c r="A151" s="18" t="n">
        <v>158</v>
      </c>
      <c r="B151" s="41" t="n">
        <v>46056</v>
      </c>
      <c r="C151" s="33" t="s">
        <v>23</v>
      </c>
      <c r="E151" s="19"/>
      <c r="F151" s="33" t="s">
        <v>433</v>
      </c>
      <c r="G151" s="33" t="s">
        <v>434</v>
      </c>
      <c r="H151" s="33" t="s">
        <v>435</v>
      </c>
      <c r="I151" s="33" t="s">
        <v>436</v>
      </c>
      <c r="J151" s="33"/>
      <c r="K151" s="33"/>
      <c r="L151" s="33"/>
      <c r="M151" s="42" t="n">
        <v>2889750</v>
      </c>
      <c r="N151" s="34"/>
      <c r="O151" s="34"/>
      <c r="P151" s="34"/>
      <c r="Q151" s="19" t="str">
        <f aca="false">IF(O151=M151,"PAYER","A PAYER")</f>
        <v>A PAYER</v>
      </c>
      <c r="R151" s="34"/>
      <c r="S151" s="40"/>
      <c r="T151" s="11"/>
    </row>
    <row r="152" customFormat="false" ht="15.75" hidden="false" customHeight="true" outlineLevel="0" collapsed="false">
      <c r="A152" s="18" t="n">
        <v>159</v>
      </c>
      <c r="B152" s="43" t="n">
        <v>46056</v>
      </c>
      <c r="C152" s="44" t="s">
        <v>28</v>
      </c>
      <c r="E152" s="19"/>
      <c r="F152" s="44" t="s">
        <v>433</v>
      </c>
      <c r="G152" s="44" t="s">
        <v>306</v>
      </c>
      <c r="H152" s="44" t="s">
        <v>437</v>
      </c>
      <c r="I152" s="44" t="s">
        <v>438</v>
      </c>
      <c r="J152" s="44"/>
      <c r="K152" s="44"/>
      <c r="L152" s="44"/>
      <c r="M152" s="45" t="n">
        <v>330000</v>
      </c>
      <c r="N152" s="34"/>
      <c r="O152" s="34"/>
      <c r="P152" s="34"/>
      <c r="Q152" s="19" t="str">
        <f aca="false">IF(O152=M152,"PAYER","A PAYER")</f>
        <v>A PAYER</v>
      </c>
      <c r="R152" s="34"/>
      <c r="S152" s="40"/>
      <c r="T152" s="11"/>
    </row>
    <row r="153" customFormat="false" ht="15.75" hidden="false" customHeight="true" outlineLevel="0" collapsed="false">
      <c r="A153" s="18" t="n">
        <v>160</v>
      </c>
      <c r="B153" s="43" t="n">
        <v>46056</v>
      </c>
      <c r="C153" s="44" t="s">
        <v>28</v>
      </c>
      <c r="D153" s="2" t="s">
        <v>29</v>
      </c>
      <c r="E153" s="19" t="s">
        <v>30</v>
      </c>
      <c r="F153" s="44" t="s">
        <v>38</v>
      </c>
      <c r="G153" s="44" t="s">
        <v>385</v>
      </c>
      <c r="H153" s="44" t="s">
        <v>439</v>
      </c>
      <c r="I153" s="44" t="s">
        <v>440</v>
      </c>
      <c r="J153" s="44"/>
      <c r="K153" s="44"/>
      <c r="L153" s="44"/>
      <c r="M153" s="45" t="n">
        <v>632999</v>
      </c>
      <c r="N153" s="34"/>
      <c r="O153" s="34"/>
      <c r="P153" s="34"/>
      <c r="Q153" s="19" t="str">
        <f aca="false">IF(O153=M153,"PAYER","A PAYER")</f>
        <v>A PAYER</v>
      </c>
      <c r="R153" s="34"/>
      <c r="S153" s="40"/>
      <c r="T153" s="11"/>
    </row>
    <row r="154" customFormat="false" ht="15.75" hidden="false" customHeight="true" outlineLevel="0" collapsed="false">
      <c r="A154" s="18" t="n">
        <v>161</v>
      </c>
      <c r="B154" s="43" t="n">
        <v>46057</v>
      </c>
      <c r="C154" s="44" t="s">
        <v>23</v>
      </c>
      <c r="D154" s="44" t="s">
        <v>441</v>
      </c>
      <c r="E154" s="19" t="s">
        <v>44</v>
      </c>
      <c r="G154" s="44" t="s">
        <v>142</v>
      </c>
      <c r="H154" s="44" t="s">
        <v>442</v>
      </c>
      <c r="I154" s="44" t="s">
        <v>443</v>
      </c>
      <c r="J154" s="44"/>
      <c r="K154" s="44"/>
      <c r="L154" s="44"/>
      <c r="M154" s="45" t="n">
        <v>1052355</v>
      </c>
      <c r="N154" s="34"/>
      <c r="O154" s="34"/>
      <c r="P154" s="34"/>
      <c r="Q154" s="19" t="str">
        <f aca="false">IF(O154=M154,"PAYER","A PAYER")</f>
        <v>A PAYER</v>
      </c>
      <c r="R154" s="34"/>
      <c r="S154" s="40"/>
      <c r="T154" s="11"/>
    </row>
    <row r="155" customFormat="false" ht="15.75" hidden="false" customHeight="true" outlineLevel="0" collapsed="false">
      <c r="A155" s="18" t="n">
        <v>162</v>
      </c>
      <c r="B155" s="43" t="n">
        <v>46057</v>
      </c>
      <c r="C155" s="44" t="s">
        <v>23</v>
      </c>
      <c r="D155" s="44" t="s">
        <v>444</v>
      </c>
      <c r="E155" s="19" t="s">
        <v>342</v>
      </c>
      <c r="G155" s="44" t="s">
        <v>172</v>
      </c>
      <c r="H155" s="44" t="s">
        <v>445</v>
      </c>
      <c r="I155" s="44" t="s">
        <v>446</v>
      </c>
      <c r="J155" s="44"/>
      <c r="K155" s="44"/>
      <c r="L155" s="44"/>
      <c r="M155" s="45" t="n">
        <v>576000</v>
      </c>
      <c r="N155" s="34"/>
      <c r="O155" s="34"/>
      <c r="P155" s="34"/>
      <c r="Q155" s="19" t="str">
        <f aca="false">IF(O155=M155,"PAYER","A PAYER")</f>
        <v>A PAYER</v>
      </c>
      <c r="R155" s="34"/>
      <c r="S155" s="40"/>
      <c r="T155" s="11"/>
    </row>
    <row r="156" customFormat="false" ht="15.75" hidden="false" customHeight="true" outlineLevel="0" collapsed="false">
      <c r="A156" s="18" t="n">
        <v>163</v>
      </c>
      <c r="B156" s="43" t="n">
        <v>46057</v>
      </c>
      <c r="C156" s="44" t="s">
        <v>23</v>
      </c>
      <c r="D156" s="46" t="s">
        <v>200</v>
      </c>
      <c r="E156" s="19" t="s">
        <v>44</v>
      </c>
      <c r="F156" s="44" t="s">
        <v>433</v>
      </c>
      <c r="G156" s="44" t="s">
        <v>447</v>
      </c>
      <c r="H156" s="47" t="s">
        <v>448</v>
      </c>
      <c r="I156" s="44" t="s">
        <v>449</v>
      </c>
      <c r="J156" s="44"/>
      <c r="K156" s="44"/>
      <c r="L156" s="44"/>
      <c r="M156" s="45" t="n">
        <v>705000</v>
      </c>
      <c r="N156" s="34"/>
      <c r="O156" s="34"/>
      <c r="P156" s="34"/>
      <c r="Q156" s="19" t="str">
        <f aca="false">IF(O156=M156,"PAYER","A PAYER")</f>
        <v>A PAYER</v>
      </c>
      <c r="R156" s="34"/>
      <c r="S156" s="40"/>
      <c r="T156" s="11"/>
    </row>
    <row r="157" customFormat="false" ht="15.75" hidden="false" customHeight="true" outlineLevel="0" collapsed="false">
      <c r="A157" s="18" t="n">
        <v>164</v>
      </c>
      <c r="B157" s="43" t="n">
        <v>46057</v>
      </c>
      <c r="C157" s="44" t="s">
        <v>28</v>
      </c>
      <c r="E157" s="19" t="s">
        <v>342</v>
      </c>
      <c r="F157" s="44" t="s">
        <v>38</v>
      </c>
      <c r="G157" s="44" t="s">
        <v>450</v>
      </c>
      <c r="H157" s="44" t="s">
        <v>451</v>
      </c>
      <c r="I157" s="44" t="s">
        <v>452</v>
      </c>
      <c r="J157" s="44"/>
      <c r="K157" s="44"/>
      <c r="L157" s="44"/>
      <c r="M157" s="45" t="n">
        <v>230000</v>
      </c>
      <c r="N157" s="34"/>
      <c r="O157" s="34"/>
      <c r="P157" s="34"/>
      <c r="Q157" s="19" t="str">
        <f aca="false">IF(O157=M157,"PAYER","A PAYER")</f>
        <v>A PAYER</v>
      </c>
      <c r="R157" s="34"/>
      <c r="S157" s="40"/>
      <c r="T157" s="11"/>
    </row>
    <row r="158" customFormat="false" ht="15.75" hidden="false" customHeight="true" outlineLevel="0" collapsed="false">
      <c r="A158" s="18" t="n">
        <v>165</v>
      </c>
      <c r="B158" s="43" t="n">
        <v>46057</v>
      </c>
      <c r="C158" s="44" t="s">
        <v>23</v>
      </c>
      <c r="E158" s="19" t="s">
        <v>342</v>
      </c>
      <c r="F158" s="44" t="s">
        <v>38</v>
      </c>
      <c r="G158" s="44" t="s">
        <v>450</v>
      </c>
      <c r="H158" s="44" t="s">
        <v>451</v>
      </c>
      <c r="I158" s="44" t="s">
        <v>453</v>
      </c>
      <c r="J158" s="44"/>
      <c r="K158" s="44"/>
      <c r="L158" s="44"/>
      <c r="M158" s="45" t="n">
        <v>80000</v>
      </c>
      <c r="N158" s="34"/>
      <c r="O158" s="34"/>
      <c r="P158" s="34"/>
      <c r="Q158" s="19" t="str">
        <f aca="false">IF(O158=M158,"PAYER","A PAYER")</f>
        <v>A PAYER</v>
      </c>
      <c r="R158" s="34"/>
      <c r="S158" s="40"/>
      <c r="T158" s="11"/>
    </row>
    <row r="159" customFormat="false" ht="15.75" hidden="false" customHeight="true" outlineLevel="0" collapsed="false">
      <c r="A159" s="18" t="n">
        <v>166</v>
      </c>
      <c r="B159" s="43" t="n">
        <v>46057</v>
      </c>
      <c r="C159" s="44" t="s">
        <v>28</v>
      </c>
      <c r="E159" s="19" t="s">
        <v>342</v>
      </c>
      <c r="F159" s="44" t="s">
        <v>38</v>
      </c>
      <c r="G159" s="44" t="s">
        <v>450</v>
      </c>
      <c r="H159" s="44" t="s">
        <v>451</v>
      </c>
      <c r="I159" s="44" t="s">
        <v>454</v>
      </c>
      <c r="J159" s="44"/>
      <c r="K159" s="44"/>
      <c r="L159" s="44"/>
      <c r="M159" s="45" t="n">
        <v>170000</v>
      </c>
      <c r="N159" s="34"/>
      <c r="O159" s="34"/>
      <c r="P159" s="34"/>
      <c r="Q159" s="19" t="str">
        <f aca="false">IF(O159=M159,"PAYER","A PAYER")</f>
        <v>A PAYER</v>
      </c>
      <c r="R159" s="34"/>
      <c r="S159" s="40"/>
      <c r="T159" s="11"/>
    </row>
    <row r="160" customFormat="false" ht="15.75" hidden="false" customHeight="true" outlineLevel="0" collapsed="false">
      <c r="A160" s="18" t="n">
        <v>167</v>
      </c>
      <c r="B160" s="43" t="n">
        <v>46056</v>
      </c>
      <c r="C160" s="44" t="s">
        <v>28</v>
      </c>
      <c r="D160" s="2" t="s">
        <v>67</v>
      </c>
      <c r="E160" s="19" t="s">
        <v>68</v>
      </c>
      <c r="F160" s="44" t="s">
        <v>38</v>
      </c>
      <c r="G160" s="44" t="s">
        <v>455</v>
      </c>
      <c r="H160" s="44" t="s">
        <v>456</v>
      </c>
      <c r="I160" s="44" t="s">
        <v>457</v>
      </c>
      <c r="J160" s="44"/>
      <c r="K160" s="44"/>
      <c r="L160" s="44"/>
      <c r="M160" s="45" t="n">
        <v>1788750</v>
      </c>
      <c r="N160" s="34"/>
      <c r="O160" s="34"/>
      <c r="P160" s="34"/>
      <c r="Q160" s="19" t="str">
        <f aca="false">IF(O160=M160,"PAYER","A PAYER")</f>
        <v>A PAYER</v>
      </c>
      <c r="R160" s="34"/>
      <c r="S160" s="40"/>
      <c r="T160" s="11"/>
    </row>
    <row r="161" customFormat="false" ht="15.75" hidden="false" customHeight="true" outlineLevel="0" collapsed="false">
      <c r="A161" s="18" t="n">
        <v>168</v>
      </c>
      <c r="B161" s="43" t="n">
        <v>46059</v>
      </c>
      <c r="C161" s="44" t="s">
        <v>23</v>
      </c>
      <c r="E161" s="19" t="s">
        <v>342</v>
      </c>
      <c r="F161" s="44" t="s">
        <v>38</v>
      </c>
      <c r="G161" s="44" t="s">
        <v>458</v>
      </c>
      <c r="H161" s="44" t="s">
        <v>459</v>
      </c>
      <c r="I161" s="44" t="s">
        <v>460</v>
      </c>
      <c r="J161" s="44"/>
      <c r="K161" s="44"/>
      <c r="L161" s="44"/>
      <c r="M161" s="45" t="n">
        <v>3488063</v>
      </c>
      <c r="N161" s="34"/>
      <c r="O161" s="34"/>
      <c r="P161" s="34"/>
      <c r="Q161" s="19" t="str">
        <f aca="false">IF(O161=M161,"PAYER","A PAYER")</f>
        <v>A PAYER</v>
      </c>
      <c r="R161" s="34"/>
      <c r="S161" s="40"/>
      <c r="T161" s="11"/>
    </row>
    <row r="162" customFormat="false" ht="15.75" hidden="false" customHeight="true" outlineLevel="0" collapsed="false">
      <c r="A162" s="18" t="n">
        <v>169</v>
      </c>
      <c r="B162" s="43" t="n">
        <v>46063</v>
      </c>
      <c r="C162" s="44" t="s">
        <v>23</v>
      </c>
      <c r="E162" s="19"/>
      <c r="F162" s="44" t="s">
        <v>31</v>
      </c>
      <c r="G162" s="44" t="s">
        <v>434</v>
      </c>
      <c r="H162" s="44" t="s">
        <v>461</v>
      </c>
      <c r="I162" s="44" t="s">
        <v>462</v>
      </c>
      <c r="J162" s="44"/>
      <c r="K162" s="44"/>
      <c r="L162" s="44"/>
      <c r="M162" s="45" t="n">
        <v>7287500</v>
      </c>
      <c r="N162" s="34"/>
      <c r="O162" s="34"/>
      <c r="P162" s="34"/>
      <c r="Q162" s="19" t="str">
        <f aca="false">IF(O162=M162,"PAYER","A PAYER")</f>
        <v>A PAYER</v>
      </c>
      <c r="R162" s="34"/>
      <c r="S162" s="40"/>
      <c r="T162" s="11"/>
    </row>
    <row r="163" customFormat="false" ht="15.75" hidden="false" customHeight="true" outlineLevel="0" collapsed="false">
      <c r="A163" s="18" t="n">
        <v>170</v>
      </c>
      <c r="B163" s="43" t="n">
        <v>46063</v>
      </c>
      <c r="C163" s="44" t="s">
        <v>23</v>
      </c>
      <c r="D163" s="2" t="s">
        <v>251</v>
      </c>
      <c r="E163" s="19" t="s">
        <v>44</v>
      </c>
      <c r="F163" s="44" t="s">
        <v>31</v>
      </c>
      <c r="G163" s="44" t="s">
        <v>297</v>
      </c>
      <c r="H163" s="44" t="s">
        <v>463</v>
      </c>
      <c r="I163" s="44" t="s">
        <v>464</v>
      </c>
      <c r="J163" s="44"/>
      <c r="K163" s="44"/>
      <c r="L163" s="44"/>
      <c r="M163" s="45" t="n">
        <v>89000</v>
      </c>
      <c r="N163" s="34"/>
      <c r="O163" s="34"/>
      <c r="P163" s="34"/>
      <c r="Q163" s="19" t="str">
        <f aca="false">IF(O163=M163,"PAYER","A PAYER")</f>
        <v>A PAYER</v>
      </c>
      <c r="R163" s="34"/>
      <c r="S163" s="40"/>
      <c r="T163" s="11"/>
    </row>
    <row r="164" customFormat="false" ht="15.75" hidden="false" customHeight="true" outlineLevel="0" collapsed="false">
      <c r="A164" s="18" t="n">
        <v>171</v>
      </c>
      <c r="B164" s="43" t="n">
        <v>46063</v>
      </c>
      <c r="C164" s="44" t="s">
        <v>23</v>
      </c>
      <c r="E164" s="19" t="s">
        <v>44</v>
      </c>
      <c r="F164" s="44" t="s">
        <v>31</v>
      </c>
      <c r="G164" s="44" t="s">
        <v>352</v>
      </c>
      <c r="H164" s="44" t="s">
        <v>173</v>
      </c>
      <c r="I164" s="44" t="s">
        <v>465</v>
      </c>
      <c r="J164" s="44"/>
      <c r="K164" s="44"/>
      <c r="L164" s="44"/>
      <c r="M164" s="45" t="n">
        <v>2884000</v>
      </c>
      <c r="N164" s="34"/>
      <c r="O164" s="34"/>
      <c r="P164" s="34"/>
      <c r="Q164" s="19" t="str">
        <f aca="false">IF(O164=M164,"PAYER","A PAYER")</f>
        <v>A PAYER</v>
      </c>
      <c r="R164" s="34"/>
      <c r="S164" s="40"/>
      <c r="T164" s="11"/>
    </row>
    <row r="165" customFormat="false" ht="15.75" hidden="false" customHeight="true" outlineLevel="0" collapsed="false">
      <c r="A165" s="18" t="n">
        <v>172</v>
      </c>
      <c r="B165" s="43" t="n">
        <v>46063</v>
      </c>
      <c r="C165" s="44" t="s">
        <v>23</v>
      </c>
      <c r="D165" s="2" t="s">
        <v>251</v>
      </c>
      <c r="E165" s="19" t="s">
        <v>44</v>
      </c>
      <c r="F165" s="44" t="s">
        <v>31</v>
      </c>
      <c r="G165" s="44" t="s">
        <v>297</v>
      </c>
      <c r="H165" s="44" t="s">
        <v>466</v>
      </c>
      <c r="I165" s="44" t="s">
        <v>467</v>
      </c>
      <c r="J165" s="44"/>
      <c r="K165" s="44"/>
      <c r="L165" s="44"/>
      <c r="M165" s="45" t="n">
        <v>1000000</v>
      </c>
      <c r="N165" s="34"/>
      <c r="O165" s="34"/>
      <c r="P165" s="34"/>
      <c r="Q165" s="19" t="str">
        <f aca="false">IF(O165=M165,"PAYER","A PAYER")</f>
        <v>A PAYER</v>
      </c>
      <c r="R165" s="34"/>
      <c r="S165" s="40"/>
      <c r="T165" s="11"/>
    </row>
    <row r="166" customFormat="false" ht="15.75" hidden="false" customHeight="true" outlineLevel="0" collapsed="false">
      <c r="A166" s="18" t="n">
        <v>173</v>
      </c>
      <c r="B166" s="43" t="n">
        <v>46062</v>
      </c>
      <c r="C166" s="44" t="s">
        <v>28</v>
      </c>
      <c r="D166" s="2" t="s">
        <v>251</v>
      </c>
      <c r="E166" s="19" t="s">
        <v>44</v>
      </c>
      <c r="F166" s="44" t="s">
        <v>38</v>
      </c>
      <c r="G166" s="44" t="s">
        <v>385</v>
      </c>
      <c r="H166" s="44" t="s">
        <v>468</v>
      </c>
      <c r="I166" s="44" t="s">
        <v>469</v>
      </c>
      <c r="J166" s="44"/>
      <c r="K166" s="44"/>
      <c r="L166" s="44"/>
      <c r="M166" s="45" t="n">
        <v>531324</v>
      </c>
      <c r="N166" s="34"/>
      <c r="O166" s="34"/>
      <c r="P166" s="34"/>
      <c r="Q166" s="19" t="str">
        <f aca="false">IF(O166=M166,"PAYER","A PAYER")</f>
        <v>A PAYER</v>
      </c>
      <c r="R166" s="34"/>
      <c r="S166" s="40"/>
      <c r="T166" s="11"/>
    </row>
    <row r="167" customFormat="false" ht="15.75" hidden="false" customHeight="true" outlineLevel="0" collapsed="false">
      <c r="A167" s="18" t="n">
        <v>174</v>
      </c>
      <c r="B167" s="43" t="n">
        <v>46063</v>
      </c>
      <c r="C167" s="44" t="s">
        <v>23</v>
      </c>
      <c r="D167" s="2" t="s">
        <v>200</v>
      </c>
      <c r="E167" s="19" t="s">
        <v>44</v>
      </c>
      <c r="F167" s="44" t="s">
        <v>31</v>
      </c>
      <c r="G167" s="44" t="s">
        <v>130</v>
      </c>
      <c r="H167" s="44" t="s">
        <v>470</v>
      </c>
      <c r="I167" s="44" t="s">
        <v>471</v>
      </c>
      <c r="J167" s="44"/>
      <c r="K167" s="44"/>
      <c r="L167" s="44"/>
      <c r="M167" s="45" t="n">
        <v>1750000</v>
      </c>
      <c r="N167" s="34"/>
      <c r="O167" s="34"/>
      <c r="P167" s="34"/>
      <c r="Q167" s="19" t="str">
        <f aca="false">IF(O167=M167,"PAYER","A PAYER")</f>
        <v>A PAYER</v>
      </c>
      <c r="R167" s="34"/>
      <c r="S167" s="40"/>
      <c r="T167" s="11"/>
    </row>
    <row r="168" customFormat="false" ht="15.75" hidden="false" customHeight="true" outlineLevel="0" collapsed="false">
      <c r="A168" s="18" t="n">
        <v>175</v>
      </c>
      <c r="B168" s="43" t="n">
        <v>46063</v>
      </c>
      <c r="C168" s="44" t="s">
        <v>23</v>
      </c>
      <c r="D168" s="44" t="s">
        <v>74</v>
      </c>
      <c r="E168" s="19" t="s">
        <v>44</v>
      </c>
      <c r="F168" s="48" t="s">
        <v>31</v>
      </c>
      <c r="G168" s="44" t="s">
        <v>142</v>
      </c>
      <c r="H168" s="44" t="s">
        <v>472</v>
      </c>
      <c r="I168" s="44" t="s">
        <v>473</v>
      </c>
      <c r="J168" s="44"/>
      <c r="K168" s="44"/>
      <c r="L168" s="44"/>
      <c r="M168" s="45" t="n">
        <v>1321809</v>
      </c>
      <c r="N168" s="34"/>
      <c r="O168" s="34"/>
      <c r="P168" s="34"/>
      <c r="Q168" s="19" t="str">
        <f aca="false">IF(O168=M168,"PAYER","A PAYER")</f>
        <v>A PAYER</v>
      </c>
      <c r="R168" s="34"/>
      <c r="S168" s="40"/>
      <c r="T168" s="11"/>
    </row>
    <row r="169" customFormat="false" ht="15.75" hidden="false" customHeight="true" outlineLevel="0" collapsed="false">
      <c r="A169" s="18" t="n">
        <v>176</v>
      </c>
      <c r="B169" s="43" t="n">
        <v>46062</v>
      </c>
      <c r="C169" s="44" t="s">
        <v>23</v>
      </c>
      <c r="D169" s="46" t="s">
        <v>200</v>
      </c>
      <c r="E169" s="19" t="s">
        <v>44</v>
      </c>
      <c r="F169" s="44" t="s">
        <v>31</v>
      </c>
      <c r="G169" s="44" t="s">
        <v>134</v>
      </c>
      <c r="H169" s="44" t="s">
        <v>474</v>
      </c>
      <c r="I169" s="44" t="s">
        <v>475</v>
      </c>
      <c r="J169" s="44"/>
      <c r="K169" s="44"/>
      <c r="L169" s="44"/>
      <c r="M169" s="45" t="n">
        <v>238500</v>
      </c>
      <c r="N169" s="34"/>
      <c r="O169" s="34"/>
      <c r="P169" s="34"/>
      <c r="Q169" s="19" t="str">
        <f aca="false">IF(O169=M169,"PAYER","A PAYER")</f>
        <v>A PAYER</v>
      </c>
      <c r="R169" s="34"/>
      <c r="S169" s="40"/>
      <c r="T169" s="11"/>
    </row>
    <row r="170" customFormat="false" ht="15.75" hidden="false" customHeight="true" outlineLevel="0" collapsed="false">
      <c r="A170" s="18" t="n">
        <v>177</v>
      </c>
      <c r="B170" s="43" t="n">
        <v>46057</v>
      </c>
      <c r="C170" s="44" t="s">
        <v>23</v>
      </c>
      <c r="D170" s="44" t="s">
        <v>476</v>
      </c>
      <c r="E170" s="19" t="s">
        <v>60</v>
      </c>
      <c r="F170" s="48" t="s">
        <v>31</v>
      </c>
      <c r="G170" s="44" t="s">
        <v>61</v>
      </c>
      <c r="H170" s="44" t="s">
        <v>477</v>
      </c>
      <c r="I170" s="44" t="s">
        <v>478</v>
      </c>
      <c r="J170" s="44"/>
      <c r="K170" s="44"/>
      <c r="L170" s="44"/>
      <c r="M170" s="45" t="n">
        <v>1200000</v>
      </c>
      <c r="N170" s="34"/>
      <c r="O170" s="34"/>
      <c r="P170" s="34"/>
      <c r="Q170" s="19" t="str">
        <f aca="false">IF(O170=M170,"PAYER","A PAYER")</f>
        <v>A PAYER</v>
      </c>
      <c r="R170" s="34"/>
      <c r="S170" s="40"/>
      <c r="T170" s="11"/>
    </row>
    <row r="171" customFormat="false" ht="15.75" hidden="false" customHeight="true" outlineLevel="0" collapsed="false">
      <c r="A171" s="18" t="n">
        <v>178</v>
      </c>
      <c r="B171" s="43" t="n">
        <v>46057</v>
      </c>
      <c r="C171" s="44" t="s">
        <v>23</v>
      </c>
      <c r="D171" s="44" t="s">
        <v>476</v>
      </c>
      <c r="E171" s="19" t="s">
        <v>60</v>
      </c>
      <c r="F171" s="48" t="s">
        <v>31</v>
      </c>
      <c r="G171" s="44" t="s">
        <v>61</v>
      </c>
      <c r="H171" s="44" t="s">
        <v>477</v>
      </c>
      <c r="I171" s="44" t="s">
        <v>479</v>
      </c>
      <c r="J171" s="44"/>
      <c r="K171" s="44"/>
      <c r="L171" s="44"/>
      <c r="M171" s="45" t="n">
        <v>185000</v>
      </c>
      <c r="N171" s="34"/>
      <c r="O171" s="34"/>
      <c r="P171" s="34"/>
      <c r="Q171" s="19" t="str">
        <f aca="false">IF(O171=M171,"PAYER","A PAYER")</f>
        <v>A PAYER</v>
      </c>
      <c r="R171" s="34"/>
      <c r="S171" s="40"/>
      <c r="T171" s="11"/>
    </row>
    <row r="172" customFormat="false" ht="15.75" hidden="false" customHeight="true" outlineLevel="0" collapsed="false">
      <c r="A172" s="18" t="n">
        <v>179</v>
      </c>
      <c r="B172" s="43" t="n">
        <v>46057</v>
      </c>
      <c r="C172" s="44" t="s">
        <v>23</v>
      </c>
      <c r="D172" s="49" t="s">
        <v>43</v>
      </c>
      <c r="E172" s="19" t="s">
        <v>44</v>
      </c>
      <c r="F172" s="44" t="s">
        <v>31</v>
      </c>
      <c r="G172" s="44" t="s">
        <v>480</v>
      </c>
      <c r="H172" s="44" t="s">
        <v>481</v>
      </c>
      <c r="I172" s="44" t="s">
        <v>482</v>
      </c>
      <c r="J172" s="44"/>
      <c r="K172" s="44"/>
      <c r="L172" s="44"/>
      <c r="M172" s="45" t="n">
        <v>9881875</v>
      </c>
      <c r="N172" s="34"/>
      <c r="O172" s="34"/>
      <c r="P172" s="34"/>
      <c r="Q172" s="19" t="str">
        <f aca="false">IF(O172=M172,"PAYER","A PAYER")</f>
        <v>A PAYER</v>
      </c>
      <c r="R172" s="34"/>
      <c r="S172" s="40"/>
      <c r="T172" s="11"/>
    </row>
    <row r="173" customFormat="false" ht="15.75" hidden="false" customHeight="true" outlineLevel="0" collapsed="false">
      <c r="A173" s="18" t="n">
        <v>180</v>
      </c>
      <c r="B173" s="41" t="n">
        <v>46059</v>
      </c>
      <c r="C173" s="33" t="s">
        <v>23</v>
      </c>
      <c r="D173" s="33" t="s">
        <v>483</v>
      </c>
      <c r="E173" s="19" t="s">
        <v>484</v>
      </c>
      <c r="F173" s="2" t="s">
        <v>38</v>
      </c>
      <c r="G173" s="33" t="s">
        <v>485</v>
      </c>
      <c r="H173" s="33" t="s">
        <v>486</v>
      </c>
      <c r="I173" s="33" t="s">
        <v>487</v>
      </c>
      <c r="J173" s="33"/>
      <c r="K173" s="33"/>
      <c r="L173" s="33"/>
      <c r="M173" s="42" t="n">
        <v>450000</v>
      </c>
      <c r="N173" s="34"/>
      <c r="O173" s="34"/>
      <c r="P173" s="34"/>
      <c r="Q173" s="19" t="str">
        <f aca="false">IF(O173=M173,"PAYER","A PAYER")</f>
        <v>A PAYER</v>
      </c>
      <c r="R173" s="34"/>
      <c r="S173" s="40"/>
      <c r="T173" s="11"/>
    </row>
    <row r="174" customFormat="false" ht="15.75" hidden="false" customHeight="true" outlineLevel="0" collapsed="false">
      <c r="A174" s="18" t="n">
        <v>181</v>
      </c>
      <c r="B174" s="43" t="n">
        <v>46063</v>
      </c>
      <c r="C174" s="44" t="s">
        <v>23</v>
      </c>
      <c r="D174" s="44" t="s">
        <v>488</v>
      </c>
      <c r="E174" s="19" t="s">
        <v>44</v>
      </c>
      <c r="F174" s="46" t="s">
        <v>31</v>
      </c>
      <c r="G174" s="44" t="s">
        <v>142</v>
      </c>
      <c r="H174" s="44" t="s">
        <v>489</v>
      </c>
      <c r="I174" s="44" t="s">
        <v>490</v>
      </c>
      <c r="J174" s="44"/>
      <c r="K174" s="44"/>
      <c r="L174" s="44"/>
      <c r="M174" s="45" t="n">
        <v>488051</v>
      </c>
      <c r="N174" s="34"/>
      <c r="O174" s="34"/>
      <c r="P174" s="34"/>
      <c r="Q174" s="19" t="str">
        <f aca="false">IF(O174=M174,"PAYER","A PAYER")</f>
        <v>A PAYER</v>
      </c>
      <c r="R174" s="34"/>
      <c r="S174" s="40"/>
      <c r="T174" s="11"/>
    </row>
    <row r="175" customFormat="false" ht="15.75" hidden="false" customHeight="true" outlineLevel="0" collapsed="false">
      <c r="A175" s="18" t="n">
        <v>182</v>
      </c>
      <c r="B175" s="43" t="n">
        <v>46063</v>
      </c>
      <c r="C175" s="44" t="s">
        <v>23</v>
      </c>
      <c r="D175" s="44" t="s">
        <v>285</v>
      </c>
      <c r="E175" s="19" t="s">
        <v>37</v>
      </c>
      <c r="F175" s="46" t="s">
        <v>31</v>
      </c>
      <c r="G175" s="44" t="s">
        <v>491</v>
      </c>
      <c r="H175" s="44" t="s">
        <v>492</v>
      </c>
      <c r="I175" s="44" t="s">
        <v>493</v>
      </c>
      <c r="J175" s="44"/>
      <c r="K175" s="44"/>
      <c r="L175" s="44"/>
      <c r="M175" s="45" t="n">
        <v>1072058</v>
      </c>
      <c r="N175" s="34"/>
      <c r="O175" s="34"/>
      <c r="P175" s="34"/>
      <c r="Q175" s="19" t="str">
        <f aca="false">IF(O175=M175,"PAYER","A PAYER")</f>
        <v>A PAYER</v>
      </c>
      <c r="R175" s="34"/>
      <c r="S175" s="40"/>
      <c r="T175" s="11"/>
    </row>
    <row r="176" customFormat="false" ht="15.75" hidden="false" customHeight="true" outlineLevel="0" collapsed="false">
      <c r="A176" s="18" t="n">
        <v>183</v>
      </c>
      <c r="B176" s="43" t="n">
        <v>46058</v>
      </c>
      <c r="C176" s="44" t="s">
        <v>23</v>
      </c>
      <c r="D176" s="44" t="s">
        <v>78</v>
      </c>
      <c r="E176" s="19" t="s">
        <v>494</v>
      </c>
      <c r="F176" s="46" t="s">
        <v>38</v>
      </c>
      <c r="G176" s="44" t="s">
        <v>80</v>
      </c>
      <c r="H176" s="44" t="s">
        <v>495</v>
      </c>
      <c r="I176" s="44" t="s">
        <v>496</v>
      </c>
      <c r="J176" s="44"/>
      <c r="K176" s="44"/>
      <c r="L176" s="44"/>
      <c r="M176" s="45" t="n">
        <v>295500</v>
      </c>
      <c r="N176" s="34"/>
      <c r="O176" s="34"/>
      <c r="P176" s="34"/>
      <c r="Q176" s="19" t="str">
        <f aca="false">IF(O176=M176,"PAYER","A PAYER")</f>
        <v>A PAYER</v>
      </c>
      <c r="R176" s="34"/>
      <c r="S176" s="40"/>
      <c r="T176" s="11"/>
    </row>
    <row r="177" customFormat="false" ht="15.75" hidden="false" customHeight="true" outlineLevel="0" collapsed="false">
      <c r="A177" s="18" t="n">
        <v>184</v>
      </c>
      <c r="B177" s="41" t="n">
        <v>46065</v>
      </c>
      <c r="C177" s="33" t="s">
        <v>23</v>
      </c>
      <c r="D177" s="33" t="s">
        <v>497</v>
      </c>
      <c r="E177" s="19" t="s">
        <v>60</v>
      </c>
      <c r="F177" s="46" t="s">
        <v>31</v>
      </c>
      <c r="G177" s="33" t="s">
        <v>115</v>
      </c>
      <c r="H177" s="33" t="s">
        <v>498</v>
      </c>
      <c r="I177" s="33" t="s">
        <v>499</v>
      </c>
      <c r="J177" s="34"/>
      <c r="K177" s="34"/>
      <c r="L177" s="34"/>
      <c r="M177" s="50" t="n">
        <v>11103144</v>
      </c>
      <c r="N177" s="34"/>
      <c r="O177" s="34"/>
      <c r="P177" s="34"/>
      <c r="Q177" s="19" t="str">
        <f aca="false">IF(O177=M177,"PAYER","A PAYER")</f>
        <v>A PAYER</v>
      </c>
      <c r="R177" s="34"/>
      <c r="S177" s="40"/>
      <c r="T177" s="11"/>
    </row>
    <row r="178" customFormat="false" ht="15.75" hidden="false" customHeight="true" outlineLevel="0" collapsed="false">
      <c r="A178" s="18" t="n">
        <v>185</v>
      </c>
      <c r="B178" s="43" t="n">
        <v>46065</v>
      </c>
      <c r="C178" s="44" t="s">
        <v>23</v>
      </c>
      <c r="D178" s="44" t="s">
        <v>497</v>
      </c>
      <c r="E178" s="19" t="s">
        <v>60</v>
      </c>
      <c r="F178" s="46" t="s">
        <v>31</v>
      </c>
      <c r="G178" s="44" t="s">
        <v>354</v>
      </c>
      <c r="H178" s="44" t="s">
        <v>498</v>
      </c>
      <c r="I178" s="44" t="s">
        <v>500</v>
      </c>
      <c r="J178" s="34"/>
      <c r="K178" s="34"/>
      <c r="L178" s="34"/>
      <c r="M178" s="51" t="n">
        <v>2951438</v>
      </c>
      <c r="N178" s="34"/>
      <c r="O178" s="34"/>
      <c r="P178" s="34"/>
      <c r="Q178" s="19" t="str">
        <f aca="false">IF(O178=M178,"PAYER","A PAYER")</f>
        <v>A PAYER</v>
      </c>
      <c r="R178" s="34"/>
      <c r="S178" s="40"/>
      <c r="T178" s="11"/>
    </row>
    <row r="179" customFormat="false" ht="15.75" hidden="false" customHeight="true" outlineLevel="0" collapsed="false">
      <c r="A179" s="18" t="n">
        <v>186</v>
      </c>
      <c r="B179" s="43" t="n">
        <v>46065</v>
      </c>
      <c r="C179" s="44" t="s">
        <v>23</v>
      </c>
      <c r="D179" s="44" t="s">
        <v>43</v>
      </c>
      <c r="E179" s="19" t="s">
        <v>44</v>
      </c>
      <c r="F179" s="46" t="s">
        <v>31</v>
      </c>
      <c r="G179" s="44" t="s">
        <v>501</v>
      </c>
      <c r="H179" s="44" t="s">
        <v>502</v>
      </c>
      <c r="I179" s="44" t="s">
        <v>503</v>
      </c>
      <c r="J179" s="34"/>
      <c r="K179" s="34"/>
      <c r="L179" s="34"/>
      <c r="M179" s="51" t="n">
        <v>700000</v>
      </c>
      <c r="N179" s="34"/>
      <c r="O179" s="34"/>
      <c r="P179" s="34"/>
      <c r="Q179" s="19" t="str">
        <f aca="false">IF(O179=M179,"PAYER","A PAYER")</f>
        <v>A PAYER</v>
      </c>
      <c r="R179" s="34"/>
      <c r="S179" s="40"/>
      <c r="T179" s="11"/>
    </row>
    <row r="180" customFormat="false" ht="15.75" hidden="false" customHeight="true" outlineLevel="0" collapsed="false">
      <c r="A180" s="18" t="n">
        <v>187</v>
      </c>
      <c r="B180" s="43" t="n">
        <v>46065</v>
      </c>
      <c r="C180" s="44" t="s">
        <v>28</v>
      </c>
      <c r="D180" s="44" t="s">
        <v>43</v>
      </c>
      <c r="E180" s="19" t="s">
        <v>44</v>
      </c>
      <c r="F180" s="46" t="s">
        <v>31</v>
      </c>
      <c r="G180" s="44" t="s">
        <v>211</v>
      </c>
      <c r="H180" s="44" t="s">
        <v>504</v>
      </c>
      <c r="I180" s="44" t="s">
        <v>505</v>
      </c>
      <c r="J180" s="34"/>
      <c r="K180" s="34"/>
      <c r="L180" s="34"/>
      <c r="M180" s="51" t="n">
        <v>1317713</v>
      </c>
      <c r="N180" s="34"/>
      <c r="O180" s="34"/>
      <c r="P180" s="34"/>
      <c r="Q180" s="19" t="str">
        <f aca="false">IF(O180=M180,"PAYER","A PAYER")</f>
        <v>A PAYER</v>
      </c>
      <c r="R180" s="34"/>
      <c r="S180" s="40"/>
      <c r="T180" s="11"/>
    </row>
    <row r="181" customFormat="false" ht="15.75" hidden="false" customHeight="true" outlineLevel="0" collapsed="false">
      <c r="A181" s="18" t="n">
        <v>188</v>
      </c>
      <c r="B181" s="43" t="n">
        <v>46065</v>
      </c>
      <c r="C181" s="44" t="s">
        <v>28</v>
      </c>
      <c r="D181" s="44" t="s">
        <v>251</v>
      </c>
      <c r="E181" s="19" t="s">
        <v>44</v>
      </c>
      <c r="F181" s="46" t="s">
        <v>31</v>
      </c>
      <c r="G181" s="44" t="s">
        <v>506</v>
      </c>
      <c r="H181" s="44" t="s">
        <v>507</v>
      </c>
      <c r="I181" s="44" t="s">
        <v>508</v>
      </c>
      <c r="J181" s="34"/>
      <c r="K181" s="34"/>
      <c r="L181" s="34"/>
      <c r="M181" s="51" t="n">
        <v>24000</v>
      </c>
      <c r="N181" s="34"/>
      <c r="O181" s="34"/>
      <c r="P181" s="34"/>
      <c r="Q181" s="19" t="str">
        <f aca="false">IF(O181=M181,"PAYER","A PAYER")</f>
        <v>A PAYER</v>
      </c>
      <c r="R181" s="34"/>
      <c r="S181" s="40"/>
      <c r="T181" s="11"/>
    </row>
    <row r="182" customFormat="false" ht="15.75" hidden="false" customHeight="true" outlineLevel="0" collapsed="false">
      <c r="A182" s="18" t="n">
        <v>189</v>
      </c>
      <c r="B182" s="43" t="n">
        <v>46057</v>
      </c>
      <c r="C182" s="19" t="s">
        <v>23</v>
      </c>
      <c r="D182" s="19" t="s">
        <v>509</v>
      </c>
      <c r="E182" s="19" t="s">
        <v>510</v>
      </c>
      <c r="F182" s="19" t="s">
        <v>38</v>
      </c>
      <c r="G182" s="19" t="s">
        <v>26</v>
      </c>
      <c r="H182" s="34" t="s">
        <v>511</v>
      </c>
      <c r="I182" s="34" t="s">
        <v>512</v>
      </c>
      <c r="J182" s="34"/>
      <c r="K182" s="34"/>
      <c r="L182" s="34"/>
      <c r="M182" s="34" t="n">
        <v>6960000</v>
      </c>
      <c r="N182" s="34"/>
      <c r="O182" s="34"/>
      <c r="P182" s="34"/>
      <c r="Q182" s="19" t="str">
        <f aca="false">IF(O182=M182,"PAYER","A PAYER")</f>
        <v>A PAYER</v>
      </c>
      <c r="R182" s="34"/>
      <c r="S182" s="40"/>
      <c r="T182" s="11"/>
    </row>
    <row r="183" customFormat="false" ht="15.75" hidden="false" customHeight="true" outlineLevel="0" collapsed="false">
      <c r="A183" s="18" t="n">
        <v>190</v>
      </c>
      <c r="B183" s="43" t="n">
        <v>46043</v>
      </c>
      <c r="C183" s="19" t="s">
        <v>28</v>
      </c>
      <c r="D183" s="19" t="s">
        <v>48</v>
      </c>
      <c r="E183" s="19" t="s">
        <v>44</v>
      </c>
      <c r="F183" s="19" t="s">
        <v>38</v>
      </c>
      <c r="G183" s="34" t="s">
        <v>513</v>
      </c>
      <c r="H183" s="19" t="s">
        <v>514</v>
      </c>
      <c r="I183" s="34" t="s">
        <v>515</v>
      </c>
      <c r="J183" s="34"/>
      <c r="L183" s="34"/>
      <c r="M183" s="34" t="n">
        <v>28000040</v>
      </c>
      <c r="N183" s="34"/>
      <c r="O183" s="34"/>
      <c r="P183" s="34"/>
      <c r="Q183" s="34" t="str">
        <f aca="false">IF(O183=M183,"PAYER","A PAYER")</f>
        <v>A PAYER</v>
      </c>
      <c r="R183" s="34"/>
      <c r="S183" s="40"/>
      <c r="T183" s="11"/>
    </row>
    <row r="184" customFormat="false" ht="15.75" hidden="false" customHeight="true" outlineLevel="0" collapsed="false">
      <c r="A184" s="18" t="n">
        <v>191</v>
      </c>
      <c r="B184" s="52" t="n">
        <v>46059</v>
      </c>
      <c r="C184" s="34" t="s">
        <v>23</v>
      </c>
      <c r="D184" s="19" t="s">
        <v>74</v>
      </c>
      <c r="E184" s="19" t="s">
        <v>44</v>
      </c>
      <c r="F184" s="53" t="s">
        <v>31</v>
      </c>
      <c r="G184" s="19" t="s">
        <v>130</v>
      </c>
      <c r="H184" s="19" t="s">
        <v>516</v>
      </c>
      <c r="I184" s="34" t="s">
        <v>517</v>
      </c>
      <c r="J184" s="34"/>
      <c r="K184" s="34"/>
      <c r="L184" s="34"/>
      <c r="M184" s="34" t="n">
        <v>19850000</v>
      </c>
      <c r="N184" s="34"/>
      <c r="O184" s="34"/>
      <c r="P184" s="34"/>
      <c r="Q184" s="34" t="str">
        <f aca="false">IF(O184=M184,"PAYER","A PAYER")</f>
        <v>A PAYER</v>
      </c>
      <c r="R184" s="34"/>
      <c r="S184" s="40"/>
      <c r="T184" s="11"/>
    </row>
    <row r="185" customFormat="false" ht="15.75" hidden="false" customHeight="true" outlineLevel="0" collapsed="false">
      <c r="A185" s="18" t="n">
        <v>192</v>
      </c>
      <c r="B185" s="52" t="n">
        <v>46083</v>
      </c>
      <c r="C185" s="34" t="s">
        <v>28</v>
      </c>
      <c r="D185" s="34" t="s">
        <v>163</v>
      </c>
      <c r="E185" s="19" t="s">
        <v>68</v>
      </c>
      <c r="F185" s="53" t="s">
        <v>31</v>
      </c>
      <c r="G185" s="19" t="s">
        <v>329</v>
      </c>
      <c r="H185" s="34" t="s">
        <v>518</v>
      </c>
      <c r="I185" s="34" t="s">
        <v>519</v>
      </c>
      <c r="J185" s="34"/>
      <c r="K185" s="34"/>
      <c r="L185" s="34"/>
      <c r="M185" s="34" t="n">
        <v>200000</v>
      </c>
      <c r="N185" s="34"/>
      <c r="O185" s="34"/>
      <c r="P185" s="34"/>
      <c r="Q185" s="34" t="str">
        <f aca="false">IF(O185=M185,"PAYER","A PAYER")</f>
        <v>A PAYER</v>
      </c>
      <c r="R185" s="34"/>
      <c r="S185" s="40"/>
      <c r="T185" s="11"/>
    </row>
    <row r="186" customFormat="false" ht="15.75" hidden="false" customHeight="true" outlineLevel="0" collapsed="false">
      <c r="A186" s="18" t="n">
        <v>193</v>
      </c>
      <c r="B186" s="52" t="n">
        <v>46083</v>
      </c>
      <c r="C186" s="34" t="s">
        <v>28</v>
      </c>
      <c r="D186" s="34" t="s">
        <v>163</v>
      </c>
      <c r="E186" s="19" t="s">
        <v>68</v>
      </c>
      <c r="F186" s="53" t="s">
        <v>31</v>
      </c>
      <c r="G186" s="19" t="s">
        <v>329</v>
      </c>
      <c r="H186" s="34" t="s">
        <v>520</v>
      </c>
      <c r="I186" s="34" t="s">
        <v>521</v>
      </c>
      <c r="J186" s="34"/>
      <c r="K186" s="34"/>
      <c r="L186" s="34"/>
      <c r="M186" s="34" t="n">
        <v>179000</v>
      </c>
      <c r="N186" s="34"/>
      <c r="O186" s="34"/>
      <c r="P186" s="34"/>
      <c r="Q186" s="34" t="str">
        <f aca="false">IF(O186=M186,"PAYER","A PAYER")</f>
        <v>A PAYER</v>
      </c>
      <c r="R186" s="34"/>
      <c r="S186" s="40"/>
      <c r="T186" s="11"/>
    </row>
    <row r="187" customFormat="false" ht="15.75" hidden="false" customHeight="true" outlineLevel="0" collapsed="false">
      <c r="A187" s="18" t="n">
        <v>194</v>
      </c>
      <c r="B187" s="52" t="n">
        <v>46084</v>
      </c>
      <c r="C187" s="34" t="s">
        <v>23</v>
      </c>
      <c r="D187" s="19" t="s">
        <v>43</v>
      </c>
      <c r="E187" s="19" t="s">
        <v>44</v>
      </c>
      <c r="F187" s="2" t="s">
        <v>31</v>
      </c>
      <c r="G187" s="19" t="s">
        <v>130</v>
      </c>
      <c r="H187" s="34" t="s">
        <v>522</v>
      </c>
      <c r="I187" s="34" t="s">
        <v>523</v>
      </c>
      <c r="J187" s="34"/>
      <c r="K187" s="34"/>
      <c r="L187" s="34"/>
      <c r="M187" s="34" t="n">
        <v>600000</v>
      </c>
      <c r="N187" s="34"/>
      <c r="O187" s="34"/>
      <c r="P187" s="34"/>
      <c r="Q187" s="34" t="str">
        <f aca="false">IF(O187=M187,"PAYER","A PAYER")</f>
        <v>A PAYER</v>
      </c>
      <c r="R187" s="34"/>
      <c r="S187" s="40"/>
      <c r="T187" s="11"/>
    </row>
    <row r="188" customFormat="false" ht="15.75" hidden="false" customHeight="true" outlineLevel="0" collapsed="false">
      <c r="A188" s="18" t="n">
        <v>195</v>
      </c>
      <c r="B188" s="52" t="n">
        <v>46078</v>
      </c>
      <c r="C188" s="34" t="s">
        <v>23</v>
      </c>
      <c r="D188" s="34" t="s">
        <v>52</v>
      </c>
      <c r="E188" s="19" t="s">
        <v>44</v>
      </c>
      <c r="F188" s="2" t="s">
        <v>31</v>
      </c>
      <c r="G188" s="19" t="s">
        <v>126</v>
      </c>
      <c r="H188" s="34" t="s">
        <v>524</v>
      </c>
      <c r="I188" s="34" t="s">
        <v>525</v>
      </c>
      <c r="J188" s="34"/>
      <c r="K188" s="34"/>
      <c r="L188" s="34"/>
      <c r="M188" s="34" t="n">
        <v>5240000</v>
      </c>
      <c r="N188" s="34"/>
      <c r="O188" s="34"/>
      <c r="P188" s="34"/>
      <c r="Q188" s="34" t="str">
        <f aca="false">IF(O188=M188,"PAYER","A PAYER")</f>
        <v>A PAYER</v>
      </c>
      <c r="R188" s="34"/>
      <c r="S188" s="40"/>
      <c r="T188" s="11"/>
    </row>
    <row r="189" customFormat="false" ht="15.75" hidden="false" customHeight="true" outlineLevel="0" collapsed="false">
      <c r="A189" s="18" t="n">
        <v>196</v>
      </c>
      <c r="B189" s="52" t="n">
        <v>46078</v>
      </c>
      <c r="C189" s="34" t="s">
        <v>23</v>
      </c>
      <c r="D189" s="34" t="s">
        <v>52</v>
      </c>
      <c r="E189" s="19" t="s">
        <v>44</v>
      </c>
      <c r="F189" s="2" t="s">
        <v>31</v>
      </c>
      <c r="G189" s="19" t="s">
        <v>271</v>
      </c>
      <c r="H189" s="34" t="s">
        <v>526</v>
      </c>
      <c r="I189" s="34" t="s">
        <v>527</v>
      </c>
      <c r="J189" s="34"/>
      <c r="K189" s="34"/>
      <c r="L189" s="34"/>
      <c r="M189" s="34" t="n">
        <v>760000</v>
      </c>
      <c r="N189" s="34"/>
      <c r="O189" s="34"/>
      <c r="P189" s="34"/>
      <c r="Q189" s="34" t="str">
        <f aca="false">IF(O189=M189,"PAYER","A PAYER")</f>
        <v>A PAYER</v>
      </c>
      <c r="R189" s="34"/>
      <c r="S189" s="40"/>
      <c r="T189" s="11"/>
    </row>
    <row r="190" customFormat="false" ht="15.75" hidden="false" customHeight="true" outlineLevel="0" collapsed="false">
      <c r="A190" s="18" t="n">
        <v>197</v>
      </c>
      <c r="B190" s="52" t="n">
        <v>46084</v>
      </c>
      <c r="C190" s="34" t="s">
        <v>23</v>
      </c>
      <c r="D190" s="34" t="s">
        <v>52</v>
      </c>
      <c r="E190" s="19" t="s">
        <v>44</v>
      </c>
      <c r="F190" s="2" t="s">
        <v>31</v>
      </c>
      <c r="G190" s="19" t="s">
        <v>126</v>
      </c>
      <c r="H190" s="34" t="s">
        <v>528</v>
      </c>
      <c r="I190" s="34" t="s">
        <v>529</v>
      </c>
      <c r="J190" s="34"/>
      <c r="K190" s="34"/>
      <c r="L190" s="34"/>
      <c r="M190" s="34" t="n">
        <v>500000</v>
      </c>
      <c r="N190" s="34"/>
      <c r="O190" s="34"/>
      <c r="P190" s="34"/>
      <c r="Q190" s="34" t="str">
        <f aca="false">IF(O190=M190,"PAYER","A PAYER")</f>
        <v>A PAYER</v>
      </c>
      <c r="R190" s="34"/>
      <c r="S190" s="40"/>
      <c r="T190" s="11"/>
    </row>
    <row r="191" customFormat="false" ht="15.75" hidden="false" customHeight="true" outlineLevel="0" collapsed="false">
      <c r="A191" s="18" t="n">
        <v>198</v>
      </c>
      <c r="B191" s="52" t="n">
        <v>46078</v>
      </c>
      <c r="C191" s="34" t="s">
        <v>23</v>
      </c>
      <c r="D191" s="34" t="s">
        <v>52</v>
      </c>
      <c r="E191" s="19" t="s">
        <v>44</v>
      </c>
      <c r="F191" s="2" t="s">
        <v>31</v>
      </c>
      <c r="G191" s="19" t="s">
        <v>530</v>
      </c>
      <c r="H191" s="34" t="s">
        <v>531</v>
      </c>
      <c r="I191" s="34" t="s">
        <v>532</v>
      </c>
      <c r="J191" s="34"/>
      <c r="K191" s="34"/>
      <c r="L191" s="34"/>
      <c r="M191" s="34" t="n">
        <v>10558450</v>
      </c>
      <c r="N191" s="34"/>
      <c r="O191" s="34"/>
      <c r="P191" s="34"/>
      <c r="Q191" s="34" t="str">
        <f aca="false">IF(O191=M191,"PAYER","A PAYER")</f>
        <v>A PAYER</v>
      </c>
      <c r="R191" s="34"/>
      <c r="S191" s="40"/>
      <c r="T191" s="11"/>
    </row>
    <row r="192" customFormat="false" ht="15.75" hidden="false" customHeight="true" outlineLevel="0" collapsed="false">
      <c r="A192" s="18" t="n">
        <v>199</v>
      </c>
      <c r="B192" s="52" t="n">
        <v>46079</v>
      </c>
      <c r="C192" s="34" t="s">
        <v>23</v>
      </c>
      <c r="D192" s="34" t="s">
        <v>52</v>
      </c>
      <c r="E192" s="19" t="s">
        <v>44</v>
      </c>
      <c r="F192" s="2" t="s">
        <v>31</v>
      </c>
      <c r="G192" s="19" t="s">
        <v>336</v>
      </c>
      <c r="H192" s="34" t="s">
        <v>533</v>
      </c>
      <c r="I192" s="34" t="s">
        <v>534</v>
      </c>
      <c r="J192" s="34"/>
      <c r="K192" s="34"/>
      <c r="L192" s="34"/>
      <c r="M192" s="34" t="n">
        <v>4357991</v>
      </c>
      <c r="N192" s="34"/>
      <c r="O192" s="34"/>
      <c r="P192" s="34"/>
      <c r="Q192" s="34" t="str">
        <f aca="false">IF(O192=M192,"PAYER","A PAYER")</f>
        <v>A PAYER</v>
      </c>
      <c r="R192" s="34"/>
      <c r="S192" s="40"/>
      <c r="T192" s="11"/>
    </row>
    <row r="193" customFormat="false" ht="15.75" hidden="false" customHeight="true" outlineLevel="0" collapsed="false">
      <c r="A193" s="18" t="n">
        <v>200</v>
      </c>
      <c r="B193" s="43" t="n">
        <v>46085</v>
      </c>
      <c r="C193" s="19" t="s">
        <v>23</v>
      </c>
      <c r="D193" s="19" t="s">
        <v>535</v>
      </c>
      <c r="E193" s="19" t="s">
        <v>24</v>
      </c>
      <c r="F193" s="19" t="s">
        <v>38</v>
      </c>
      <c r="G193" s="34" t="s">
        <v>536</v>
      </c>
      <c r="H193" s="34" t="s">
        <v>537</v>
      </c>
      <c r="I193" s="34" t="s">
        <v>538</v>
      </c>
      <c r="J193" s="34"/>
      <c r="K193" s="34"/>
      <c r="L193" s="34"/>
      <c r="M193" s="34" t="n">
        <v>70592.4225</v>
      </c>
      <c r="N193" s="34"/>
      <c r="O193" s="34"/>
      <c r="P193" s="34"/>
      <c r="Q193" s="34" t="str">
        <f aca="false">IF(O193=M193,"PAYER","A PAYER")</f>
        <v>A PAYER</v>
      </c>
      <c r="R193" s="34"/>
      <c r="S193" s="40"/>
      <c r="T193" s="11"/>
    </row>
    <row r="194" customFormat="false" ht="15.75" hidden="false" customHeight="true" outlineLevel="0" collapsed="false">
      <c r="A194" s="18" t="n">
        <v>201</v>
      </c>
      <c r="B194" s="52" t="n">
        <v>46083</v>
      </c>
      <c r="C194" s="34" t="s">
        <v>23</v>
      </c>
      <c r="D194" s="34" t="s">
        <v>376</v>
      </c>
      <c r="E194" s="19" t="s">
        <v>60</v>
      </c>
      <c r="F194" s="54" t="s">
        <v>31</v>
      </c>
      <c r="G194" s="19" t="s">
        <v>61</v>
      </c>
      <c r="H194" s="34" t="s">
        <v>377</v>
      </c>
      <c r="I194" s="34" t="s">
        <v>378</v>
      </c>
      <c r="J194" s="34"/>
      <c r="K194" s="34"/>
      <c r="L194" s="34"/>
      <c r="M194" s="34" t="n">
        <v>355000</v>
      </c>
      <c r="N194" s="34"/>
      <c r="O194" s="34"/>
      <c r="P194" s="34"/>
      <c r="Q194" s="34"/>
      <c r="R194" s="34"/>
      <c r="S194" s="40"/>
      <c r="T194" s="11"/>
    </row>
    <row r="195" customFormat="false" ht="15.75" hidden="false" customHeight="true" outlineLevel="0" collapsed="false">
      <c r="A195" s="18" t="n">
        <v>202</v>
      </c>
      <c r="B195" s="52" t="n">
        <v>46083</v>
      </c>
      <c r="C195" s="34" t="s">
        <v>23</v>
      </c>
      <c r="D195" s="19" t="s">
        <v>539</v>
      </c>
      <c r="E195" s="19" t="s">
        <v>37</v>
      </c>
      <c r="F195" s="2" t="s">
        <v>38</v>
      </c>
      <c r="G195" s="19" t="s">
        <v>309</v>
      </c>
      <c r="H195" s="34" t="s">
        <v>383</v>
      </c>
      <c r="I195" s="34" t="s">
        <v>384</v>
      </c>
      <c r="J195" s="34"/>
      <c r="K195" s="34"/>
      <c r="L195" s="34"/>
      <c r="M195" s="34" t="n">
        <v>415650</v>
      </c>
      <c r="N195" s="34"/>
      <c r="O195" s="34"/>
      <c r="P195" s="34"/>
      <c r="Q195" s="34"/>
      <c r="R195" s="34"/>
      <c r="S195" s="40"/>
      <c r="T195" s="11"/>
    </row>
    <row r="196" customFormat="false" ht="15.75" hidden="false" customHeight="true" outlineLevel="0" collapsed="false">
      <c r="A196" s="18" t="n">
        <v>203</v>
      </c>
      <c r="B196" s="52" t="n">
        <v>46083</v>
      </c>
      <c r="C196" s="34" t="s">
        <v>28</v>
      </c>
      <c r="D196" s="34" t="s">
        <v>210</v>
      </c>
      <c r="E196" s="19" t="s">
        <v>30</v>
      </c>
      <c r="F196" s="2" t="s">
        <v>31</v>
      </c>
      <c r="G196" s="19" t="s">
        <v>329</v>
      </c>
      <c r="H196" s="34" t="s">
        <v>388</v>
      </c>
      <c r="I196" s="34" t="s">
        <v>389</v>
      </c>
      <c r="J196" s="34"/>
      <c r="K196" s="34"/>
      <c r="L196" s="34"/>
      <c r="M196" s="34" t="n">
        <v>136300</v>
      </c>
      <c r="N196" s="34"/>
      <c r="O196" s="34"/>
      <c r="P196" s="34"/>
      <c r="Q196" s="34"/>
      <c r="R196" s="34"/>
      <c r="S196" s="40"/>
      <c r="T196" s="11"/>
    </row>
    <row r="197" customFormat="false" ht="15.75" hidden="false" customHeight="true" outlineLevel="0" collapsed="false">
      <c r="A197" s="18" t="n">
        <v>204</v>
      </c>
      <c r="B197" s="52" t="n">
        <v>46083</v>
      </c>
      <c r="C197" s="34" t="s">
        <v>23</v>
      </c>
      <c r="D197" s="19" t="s">
        <v>539</v>
      </c>
      <c r="E197" s="19" t="s">
        <v>37</v>
      </c>
      <c r="F197" s="2" t="s">
        <v>38</v>
      </c>
      <c r="G197" s="19" t="s">
        <v>299</v>
      </c>
      <c r="H197" s="34" t="s">
        <v>392</v>
      </c>
      <c r="I197" s="34" t="s">
        <v>393</v>
      </c>
      <c r="J197" s="34"/>
      <c r="K197" s="34"/>
      <c r="L197" s="34"/>
      <c r="M197" s="34" t="n">
        <v>145000</v>
      </c>
      <c r="N197" s="34"/>
      <c r="O197" s="34"/>
      <c r="P197" s="34"/>
      <c r="Q197" s="34"/>
      <c r="R197" s="34"/>
      <c r="S197" s="40"/>
      <c r="T197" s="11"/>
    </row>
    <row r="198" customFormat="false" ht="15.75" hidden="false" customHeight="true" outlineLevel="0" collapsed="false">
      <c r="A198" s="18" t="n">
        <v>205</v>
      </c>
      <c r="B198" s="52" t="n">
        <v>46083</v>
      </c>
      <c r="C198" s="34" t="s">
        <v>23</v>
      </c>
      <c r="D198" s="34" t="s">
        <v>396</v>
      </c>
      <c r="E198" s="19" t="s">
        <v>44</v>
      </c>
      <c r="F198" s="2" t="s">
        <v>31</v>
      </c>
      <c r="G198" s="19" t="s">
        <v>204</v>
      </c>
      <c r="H198" s="34" t="s">
        <v>397</v>
      </c>
      <c r="I198" s="34" t="s">
        <v>398</v>
      </c>
      <c r="J198" s="34"/>
      <c r="K198" s="34"/>
      <c r="L198" s="34"/>
      <c r="M198" s="34" t="n">
        <v>152000</v>
      </c>
      <c r="N198" s="34"/>
      <c r="O198" s="34"/>
      <c r="P198" s="34"/>
      <c r="Q198" s="34"/>
      <c r="R198" s="34"/>
      <c r="S198" s="40"/>
      <c r="T198" s="11"/>
    </row>
    <row r="199" customFormat="false" ht="15.75" hidden="false" customHeight="true" outlineLevel="0" collapsed="false">
      <c r="A199" s="18" t="n">
        <v>206</v>
      </c>
      <c r="B199" s="52" t="n">
        <v>46083</v>
      </c>
      <c r="C199" s="34" t="s">
        <v>23</v>
      </c>
      <c r="D199" s="34" t="s">
        <v>401</v>
      </c>
      <c r="E199" s="19" t="s">
        <v>44</v>
      </c>
      <c r="F199" s="2" t="s">
        <v>31</v>
      </c>
      <c r="G199" s="19" t="s">
        <v>176</v>
      </c>
      <c r="H199" s="34" t="s">
        <v>402</v>
      </c>
      <c r="I199" s="34" t="s">
        <v>403</v>
      </c>
      <c r="J199" s="34"/>
      <c r="K199" s="34"/>
      <c r="L199" s="34"/>
      <c r="M199" s="34" t="n">
        <v>15449210</v>
      </c>
      <c r="N199" s="34"/>
      <c r="O199" s="34"/>
      <c r="P199" s="34"/>
      <c r="Q199" s="34"/>
      <c r="R199" s="34"/>
      <c r="S199" s="40"/>
      <c r="T199" s="11"/>
    </row>
    <row r="200" customFormat="false" ht="15.75" hidden="false" customHeight="true" outlineLevel="0" collapsed="false">
      <c r="A200" s="55"/>
      <c r="B200" s="34"/>
      <c r="C200" s="34"/>
      <c r="D200" s="34"/>
      <c r="E200" s="19"/>
      <c r="F200" s="34"/>
      <c r="G200" s="34"/>
      <c r="H200" s="34"/>
      <c r="I200" s="34"/>
      <c r="J200" s="34"/>
      <c r="K200" s="34"/>
      <c r="L200" s="34"/>
      <c r="M200" s="34"/>
      <c r="N200" s="34"/>
      <c r="O200" s="34"/>
      <c r="P200" s="34"/>
      <c r="Q200" s="34"/>
      <c r="R200" s="34"/>
      <c r="S200" s="40"/>
      <c r="T200" s="11"/>
    </row>
    <row r="201" customFormat="false" ht="15.75" hidden="false" customHeight="true" outlineLevel="0" collapsed="false">
      <c r="A201" s="55"/>
      <c r="B201" s="34"/>
      <c r="C201" s="34"/>
      <c r="D201" s="34"/>
      <c r="E201" s="19"/>
      <c r="F201" s="34"/>
      <c r="G201" s="34"/>
      <c r="H201" s="34"/>
      <c r="I201" s="34"/>
      <c r="J201" s="34"/>
      <c r="K201" s="34"/>
      <c r="L201" s="34"/>
      <c r="M201" s="34"/>
      <c r="N201" s="34"/>
      <c r="O201" s="34"/>
      <c r="P201" s="34"/>
      <c r="Q201" s="34"/>
      <c r="R201" s="34"/>
      <c r="S201" s="40"/>
      <c r="T201" s="11"/>
    </row>
    <row r="202" customFormat="false" ht="15.75" hidden="false" customHeight="true" outlineLevel="0" collapsed="false">
      <c r="A202" s="55"/>
      <c r="B202" s="34"/>
      <c r="C202" s="34"/>
      <c r="D202" s="34"/>
      <c r="E202" s="19"/>
      <c r="F202" s="34"/>
      <c r="G202" s="34"/>
      <c r="H202" s="34"/>
      <c r="I202" s="34"/>
      <c r="J202" s="34"/>
      <c r="K202" s="34"/>
      <c r="L202" s="34"/>
      <c r="M202" s="34"/>
      <c r="N202" s="34"/>
      <c r="O202" s="34"/>
      <c r="P202" s="34"/>
      <c r="Q202" s="34"/>
      <c r="R202" s="34"/>
      <c r="S202" s="40"/>
      <c r="T202" s="11"/>
    </row>
    <row r="203" customFormat="false" ht="15.75" hidden="false" customHeight="true" outlineLevel="0" collapsed="false">
      <c r="A203" s="55"/>
      <c r="B203" s="34"/>
      <c r="C203" s="34"/>
      <c r="D203" s="34"/>
      <c r="E203" s="19"/>
      <c r="F203" s="34"/>
      <c r="G203" s="34"/>
      <c r="H203" s="34"/>
      <c r="I203" s="34"/>
      <c r="J203" s="34"/>
      <c r="K203" s="34"/>
      <c r="L203" s="34"/>
      <c r="M203" s="34"/>
      <c r="N203" s="34"/>
      <c r="O203" s="34"/>
      <c r="P203" s="34"/>
      <c r="Q203" s="34"/>
      <c r="R203" s="34"/>
      <c r="S203" s="40"/>
      <c r="T203" s="11"/>
    </row>
    <row r="204" customFormat="false" ht="15.75" hidden="false" customHeight="true" outlineLevel="0" collapsed="false">
      <c r="A204" s="55"/>
      <c r="B204" s="34"/>
      <c r="C204" s="34"/>
      <c r="D204" s="34"/>
      <c r="E204" s="19"/>
      <c r="F204" s="34"/>
      <c r="G204" s="34"/>
      <c r="H204" s="34"/>
      <c r="I204" s="34"/>
      <c r="J204" s="34"/>
      <c r="K204" s="34"/>
      <c r="L204" s="34"/>
      <c r="M204" s="34"/>
      <c r="N204" s="34"/>
      <c r="O204" s="34"/>
      <c r="P204" s="34"/>
      <c r="Q204" s="34"/>
      <c r="R204" s="34"/>
      <c r="S204" s="40"/>
      <c r="T204" s="11"/>
    </row>
    <row r="205" customFormat="false" ht="15.75" hidden="false" customHeight="true" outlineLevel="0" collapsed="false">
      <c r="A205" s="55"/>
      <c r="B205" s="34"/>
      <c r="C205" s="34"/>
      <c r="D205" s="34"/>
      <c r="E205" s="19"/>
      <c r="F205" s="34"/>
      <c r="G205" s="34"/>
      <c r="H205" s="34"/>
      <c r="I205" s="34"/>
      <c r="J205" s="34"/>
      <c r="K205" s="34"/>
      <c r="L205" s="34"/>
      <c r="M205" s="34"/>
      <c r="N205" s="34"/>
      <c r="O205" s="34"/>
      <c r="P205" s="34"/>
      <c r="Q205" s="34"/>
      <c r="R205" s="34"/>
      <c r="S205" s="40"/>
      <c r="T205" s="11"/>
    </row>
    <row r="206" customFormat="false" ht="15.75" hidden="false" customHeight="true" outlineLevel="0" collapsed="false">
      <c r="A206" s="55"/>
      <c r="B206" s="34"/>
      <c r="C206" s="34"/>
      <c r="D206" s="34"/>
      <c r="E206" s="19"/>
      <c r="F206" s="34"/>
      <c r="G206" s="34"/>
      <c r="H206" s="34"/>
      <c r="I206" s="34"/>
      <c r="J206" s="34"/>
      <c r="K206" s="34"/>
      <c r="L206" s="34"/>
      <c r="M206" s="34"/>
      <c r="N206" s="34"/>
      <c r="O206" s="34"/>
      <c r="P206" s="34"/>
      <c r="Q206" s="34"/>
      <c r="R206" s="34"/>
      <c r="S206" s="40"/>
      <c r="T206" s="11"/>
    </row>
    <row r="207" customFormat="false" ht="15.75" hidden="false" customHeight="true" outlineLevel="0" collapsed="false">
      <c r="A207" s="55"/>
      <c r="B207" s="34"/>
      <c r="C207" s="34"/>
      <c r="D207" s="34"/>
      <c r="E207" s="19"/>
      <c r="F207" s="34"/>
      <c r="G207" s="34"/>
      <c r="H207" s="34"/>
      <c r="I207" s="34"/>
      <c r="J207" s="34"/>
      <c r="K207" s="34"/>
      <c r="L207" s="34"/>
      <c r="M207" s="34"/>
      <c r="N207" s="34"/>
      <c r="O207" s="34"/>
      <c r="P207" s="34"/>
      <c r="Q207" s="34"/>
      <c r="R207" s="34"/>
      <c r="S207" s="40"/>
      <c r="T207" s="11"/>
    </row>
    <row r="208" customFormat="false" ht="15.75" hidden="false" customHeight="true" outlineLevel="0" collapsed="false">
      <c r="A208" s="55"/>
      <c r="B208" s="34"/>
      <c r="C208" s="34"/>
      <c r="D208" s="34"/>
      <c r="E208" s="19"/>
      <c r="F208" s="34"/>
      <c r="G208" s="34"/>
      <c r="H208" s="34"/>
      <c r="I208" s="34"/>
      <c r="J208" s="34"/>
      <c r="K208" s="34"/>
      <c r="L208" s="34"/>
      <c r="M208" s="34"/>
      <c r="N208" s="34"/>
      <c r="O208" s="34"/>
      <c r="P208" s="34"/>
      <c r="Q208" s="34"/>
      <c r="R208" s="34"/>
      <c r="S208" s="40"/>
      <c r="T208" s="11"/>
    </row>
    <row r="209" customFormat="false" ht="15.75" hidden="false" customHeight="true" outlineLevel="0" collapsed="false">
      <c r="A209" s="55"/>
      <c r="B209" s="34"/>
      <c r="C209" s="34"/>
      <c r="D209" s="34"/>
      <c r="E209" s="19"/>
      <c r="F209" s="34"/>
      <c r="G209" s="34"/>
      <c r="H209" s="34"/>
      <c r="I209" s="34"/>
      <c r="J209" s="34"/>
      <c r="K209" s="34"/>
      <c r="L209" s="34"/>
      <c r="M209" s="34"/>
      <c r="N209" s="34"/>
      <c r="O209" s="34"/>
      <c r="P209" s="34"/>
      <c r="Q209" s="34"/>
      <c r="R209" s="34"/>
      <c r="S209" s="40"/>
      <c r="T209" s="11"/>
    </row>
    <row r="210" customFormat="false" ht="15.75" hidden="false" customHeight="true" outlineLevel="0" collapsed="false">
      <c r="A210" s="55"/>
      <c r="B210" s="34"/>
      <c r="C210" s="34"/>
      <c r="D210" s="34"/>
      <c r="E210" s="19"/>
      <c r="F210" s="34"/>
      <c r="G210" s="34"/>
      <c r="H210" s="34"/>
      <c r="I210" s="34"/>
      <c r="J210" s="34"/>
      <c r="K210" s="34"/>
      <c r="L210" s="34"/>
      <c r="M210" s="34"/>
      <c r="N210" s="34"/>
      <c r="O210" s="34"/>
      <c r="P210" s="34"/>
      <c r="Q210" s="34"/>
      <c r="R210" s="34"/>
      <c r="S210" s="40"/>
      <c r="T210" s="11"/>
    </row>
    <row r="211" customFormat="false" ht="15.75" hidden="false" customHeight="true" outlineLevel="0" collapsed="false">
      <c r="A211" s="55"/>
      <c r="B211" s="34"/>
      <c r="C211" s="34"/>
      <c r="D211" s="34"/>
      <c r="E211" s="19"/>
      <c r="F211" s="34"/>
      <c r="G211" s="34"/>
      <c r="H211" s="34"/>
      <c r="I211" s="34"/>
      <c r="J211" s="34"/>
      <c r="K211" s="34"/>
      <c r="L211" s="34"/>
      <c r="M211" s="34"/>
      <c r="N211" s="34"/>
      <c r="O211" s="34"/>
      <c r="P211" s="34"/>
      <c r="Q211" s="34"/>
      <c r="R211" s="34"/>
      <c r="S211" s="40"/>
      <c r="T211" s="11"/>
    </row>
    <row r="212" customFormat="false" ht="15.75" hidden="false" customHeight="true" outlineLevel="0" collapsed="false">
      <c r="A212" s="55"/>
      <c r="B212" s="34"/>
      <c r="C212" s="34"/>
      <c r="D212" s="34"/>
      <c r="E212" s="19"/>
      <c r="F212" s="34"/>
      <c r="G212" s="34"/>
      <c r="H212" s="34"/>
      <c r="I212" s="34"/>
      <c r="J212" s="34"/>
      <c r="K212" s="34"/>
      <c r="L212" s="34"/>
      <c r="M212" s="34"/>
      <c r="N212" s="34"/>
      <c r="O212" s="34"/>
      <c r="P212" s="34"/>
      <c r="Q212" s="34"/>
      <c r="R212" s="34"/>
      <c r="S212" s="40"/>
      <c r="T212" s="11"/>
    </row>
    <row r="213" customFormat="false" ht="15.75" hidden="false" customHeight="true" outlineLevel="0" collapsed="false">
      <c r="A213" s="55"/>
      <c r="B213" s="34"/>
      <c r="C213" s="34"/>
      <c r="D213" s="34"/>
      <c r="E213" s="19"/>
      <c r="F213" s="34"/>
      <c r="G213" s="34"/>
      <c r="H213" s="34"/>
      <c r="I213" s="34"/>
      <c r="J213" s="34"/>
      <c r="K213" s="34"/>
      <c r="L213" s="34"/>
      <c r="M213" s="34"/>
      <c r="N213" s="34"/>
      <c r="O213" s="34"/>
      <c r="P213" s="34"/>
      <c r="Q213" s="34"/>
      <c r="R213" s="34"/>
      <c r="S213" s="40"/>
      <c r="T213" s="11"/>
    </row>
    <row r="214" customFormat="false" ht="15.75" hidden="false" customHeight="true" outlineLevel="0" collapsed="false">
      <c r="A214" s="55"/>
      <c r="B214" s="34"/>
      <c r="C214" s="34"/>
      <c r="D214" s="34"/>
      <c r="E214" s="19"/>
      <c r="F214" s="34"/>
      <c r="G214" s="34"/>
      <c r="H214" s="34"/>
      <c r="I214" s="34"/>
      <c r="J214" s="34"/>
      <c r="K214" s="34"/>
      <c r="L214" s="34"/>
      <c r="M214" s="34"/>
      <c r="N214" s="34"/>
      <c r="O214" s="34"/>
      <c r="P214" s="34"/>
      <c r="Q214" s="34"/>
      <c r="R214" s="34"/>
      <c r="S214" s="40"/>
      <c r="T214" s="11"/>
    </row>
    <row r="215" customFormat="false" ht="15.75" hidden="false" customHeight="true" outlineLevel="0" collapsed="false">
      <c r="A215" s="55"/>
      <c r="B215" s="34"/>
      <c r="C215" s="34"/>
      <c r="D215" s="34"/>
      <c r="E215" s="19"/>
      <c r="F215" s="34"/>
      <c r="G215" s="34"/>
      <c r="H215" s="34"/>
      <c r="I215" s="34"/>
      <c r="J215" s="34"/>
      <c r="K215" s="34"/>
      <c r="L215" s="34"/>
      <c r="M215" s="34"/>
      <c r="N215" s="34"/>
      <c r="O215" s="34"/>
      <c r="P215" s="34"/>
      <c r="Q215" s="34"/>
      <c r="R215" s="34"/>
      <c r="S215" s="40"/>
      <c r="T215" s="11"/>
    </row>
    <row r="216" customFormat="false" ht="15.75" hidden="false" customHeight="true" outlineLevel="0" collapsed="false">
      <c r="A216" s="55"/>
      <c r="B216" s="34"/>
      <c r="C216" s="34"/>
      <c r="D216" s="34"/>
      <c r="E216" s="19"/>
      <c r="F216" s="34"/>
      <c r="G216" s="34"/>
      <c r="H216" s="34"/>
      <c r="I216" s="34"/>
      <c r="J216" s="34"/>
      <c r="K216" s="34"/>
      <c r="L216" s="34"/>
      <c r="M216" s="34"/>
      <c r="N216" s="34"/>
      <c r="O216" s="34"/>
      <c r="P216" s="34"/>
      <c r="Q216" s="34"/>
      <c r="R216" s="34"/>
      <c r="S216" s="40"/>
      <c r="T216" s="11"/>
    </row>
    <row r="217" customFormat="false" ht="15.75" hidden="false" customHeight="true" outlineLevel="0" collapsed="false">
      <c r="A217" s="55"/>
      <c r="B217" s="34"/>
      <c r="C217" s="34"/>
      <c r="D217" s="34"/>
      <c r="E217" s="19"/>
      <c r="F217" s="34"/>
      <c r="G217" s="34"/>
      <c r="H217" s="34"/>
      <c r="I217" s="34"/>
      <c r="J217" s="34"/>
      <c r="K217" s="34"/>
      <c r="L217" s="34"/>
      <c r="M217" s="34"/>
      <c r="N217" s="34"/>
      <c r="O217" s="34"/>
      <c r="P217" s="34"/>
      <c r="Q217" s="34"/>
      <c r="R217" s="34"/>
      <c r="S217" s="40"/>
      <c r="T217" s="11"/>
    </row>
    <row r="218" customFormat="false" ht="15.75" hidden="false" customHeight="true" outlineLevel="0" collapsed="false">
      <c r="A218" s="55"/>
      <c r="B218" s="34"/>
      <c r="C218" s="34"/>
      <c r="D218" s="34"/>
      <c r="E218" s="19"/>
      <c r="F218" s="34"/>
      <c r="G218" s="34"/>
      <c r="H218" s="34"/>
      <c r="I218" s="34"/>
      <c r="J218" s="34"/>
      <c r="K218" s="34"/>
      <c r="L218" s="34"/>
      <c r="M218" s="34"/>
      <c r="N218" s="34"/>
      <c r="O218" s="34"/>
      <c r="P218" s="34"/>
      <c r="Q218" s="34"/>
      <c r="R218" s="34"/>
      <c r="S218" s="40"/>
      <c r="T218" s="11"/>
    </row>
    <row r="219" customFormat="false" ht="15.75" hidden="false" customHeight="true" outlineLevel="0" collapsed="false">
      <c r="A219" s="55"/>
      <c r="B219" s="34"/>
      <c r="C219" s="34"/>
      <c r="D219" s="34"/>
      <c r="E219" s="19"/>
      <c r="F219" s="34"/>
      <c r="G219" s="34"/>
      <c r="H219" s="34"/>
      <c r="I219" s="34"/>
      <c r="J219" s="34"/>
      <c r="K219" s="34"/>
      <c r="L219" s="34"/>
      <c r="M219" s="34"/>
      <c r="N219" s="34"/>
      <c r="O219" s="34"/>
      <c r="P219" s="34"/>
      <c r="Q219" s="34"/>
      <c r="R219" s="34"/>
      <c r="S219" s="40"/>
      <c r="T219" s="11"/>
    </row>
    <row r="220" customFormat="false" ht="15.75" hidden="false" customHeight="true" outlineLevel="0" collapsed="false">
      <c r="A220" s="55"/>
      <c r="B220" s="34"/>
      <c r="C220" s="34"/>
      <c r="D220" s="34"/>
      <c r="E220" s="19"/>
      <c r="F220" s="34"/>
      <c r="G220" s="34"/>
      <c r="H220" s="34"/>
      <c r="I220" s="34"/>
      <c r="J220" s="34"/>
      <c r="K220" s="34"/>
      <c r="L220" s="34"/>
      <c r="M220" s="34"/>
      <c r="N220" s="34"/>
      <c r="O220" s="34"/>
      <c r="P220" s="34"/>
      <c r="Q220" s="34"/>
      <c r="R220" s="34"/>
      <c r="S220" s="40"/>
      <c r="T220" s="11"/>
    </row>
    <row r="221" customFormat="false" ht="15.75" hidden="false" customHeight="true" outlineLevel="0" collapsed="false">
      <c r="A221" s="55"/>
      <c r="B221" s="34"/>
      <c r="C221" s="34"/>
      <c r="D221" s="34"/>
      <c r="E221" s="19"/>
      <c r="F221" s="34"/>
      <c r="G221" s="34"/>
      <c r="H221" s="34"/>
      <c r="I221" s="34"/>
      <c r="J221" s="34"/>
      <c r="K221" s="34"/>
      <c r="L221" s="34"/>
      <c r="M221" s="34"/>
      <c r="N221" s="34"/>
      <c r="O221" s="34"/>
      <c r="P221" s="34"/>
      <c r="Q221" s="34"/>
      <c r="R221" s="34"/>
      <c r="S221" s="40"/>
      <c r="T221" s="11"/>
    </row>
    <row r="222" customFormat="false" ht="15.75" hidden="false" customHeight="true" outlineLevel="0" collapsed="false">
      <c r="A222" s="55"/>
      <c r="B222" s="34"/>
      <c r="C222" s="34"/>
      <c r="D222" s="34"/>
      <c r="E222" s="19"/>
      <c r="F222" s="34"/>
      <c r="G222" s="34"/>
      <c r="H222" s="34"/>
      <c r="I222" s="34"/>
      <c r="J222" s="34"/>
      <c r="K222" s="34"/>
      <c r="L222" s="34"/>
      <c r="M222" s="34"/>
      <c r="N222" s="34"/>
      <c r="O222" s="34"/>
      <c r="P222" s="34"/>
      <c r="Q222" s="34"/>
      <c r="R222" s="34"/>
      <c r="S222" s="40"/>
      <c r="T222" s="11"/>
    </row>
    <row r="223" customFormat="false" ht="15.75" hidden="false" customHeight="true" outlineLevel="0" collapsed="false">
      <c r="A223" s="55"/>
      <c r="B223" s="34"/>
      <c r="C223" s="34"/>
      <c r="D223" s="34"/>
      <c r="E223" s="19"/>
      <c r="F223" s="34"/>
      <c r="G223" s="34"/>
      <c r="H223" s="34"/>
      <c r="I223" s="34"/>
      <c r="J223" s="34"/>
      <c r="K223" s="34"/>
      <c r="L223" s="34"/>
      <c r="M223" s="34"/>
      <c r="N223" s="34"/>
      <c r="O223" s="34"/>
      <c r="P223" s="34"/>
      <c r="Q223" s="34"/>
      <c r="R223" s="34"/>
      <c r="S223" s="40"/>
      <c r="T223" s="11"/>
    </row>
    <row r="224" customFormat="false" ht="15.75" hidden="false" customHeight="true" outlineLevel="0" collapsed="false">
      <c r="A224" s="55"/>
      <c r="B224" s="34"/>
      <c r="C224" s="34"/>
      <c r="D224" s="34"/>
      <c r="E224" s="19"/>
      <c r="F224" s="34"/>
      <c r="G224" s="34"/>
      <c r="H224" s="34"/>
      <c r="I224" s="34"/>
      <c r="J224" s="34"/>
      <c r="K224" s="34"/>
      <c r="L224" s="34"/>
      <c r="M224" s="34"/>
      <c r="N224" s="34"/>
      <c r="O224" s="34"/>
      <c r="P224" s="34"/>
      <c r="Q224" s="34"/>
      <c r="R224" s="34"/>
      <c r="S224" s="40"/>
      <c r="T224" s="11"/>
    </row>
    <row r="225" customFormat="false" ht="15.75" hidden="false" customHeight="true" outlineLevel="0" collapsed="false">
      <c r="A225" s="55"/>
      <c r="B225" s="34"/>
      <c r="C225" s="34"/>
      <c r="D225" s="34"/>
      <c r="E225" s="19"/>
      <c r="F225" s="34"/>
      <c r="G225" s="34"/>
      <c r="H225" s="34"/>
      <c r="I225" s="34"/>
      <c r="J225" s="34"/>
      <c r="K225" s="34"/>
      <c r="L225" s="34"/>
      <c r="M225" s="34"/>
      <c r="N225" s="34"/>
      <c r="O225" s="34"/>
      <c r="P225" s="34"/>
      <c r="Q225" s="34"/>
      <c r="R225" s="34"/>
      <c r="S225" s="40"/>
      <c r="T225" s="11"/>
    </row>
    <row r="226" customFormat="false" ht="15.75" hidden="false" customHeight="true" outlineLevel="0" collapsed="false">
      <c r="A226" s="55"/>
      <c r="B226" s="34"/>
      <c r="C226" s="34"/>
      <c r="D226" s="34"/>
      <c r="E226" s="19"/>
      <c r="F226" s="34"/>
      <c r="G226" s="34"/>
      <c r="H226" s="34"/>
      <c r="I226" s="34"/>
      <c r="J226" s="34"/>
      <c r="K226" s="34"/>
      <c r="L226" s="34"/>
      <c r="M226" s="34"/>
      <c r="N226" s="34"/>
      <c r="O226" s="34"/>
      <c r="P226" s="34"/>
      <c r="Q226" s="34"/>
      <c r="R226" s="34"/>
      <c r="S226" s="40"/>
      <c r="T226" s="11"/>
    </row>
    <row r="227" customFormat="false" ht="15.75" hidden="false" customHeight="true" outlineLevel="0" collapsed="false">
      <c r="A227" s="55"/>
      <c r="B227" s="34"/>
      <c r="C227" s="34"/>
      <c r="D227" s="34"/>
      <c r="E227" s="19"/>
      <c r="F227" s="34"/>
      <c r="G227" s="34"/>
      <c r="H227" s="34"/>
      <c r="I227" s="34"/>
      <c r="J227" s="34"/>
      <c r="K227" s="34"/>
      <c r="L227" s="34"/>
      <c r="M227" s="34"/>
      <c r="N227" s="34"/>
      <c r="O227" s="34"/>
      <c r="P227" s="34"/>
      <c r="Q227" s="34"/>
      <c r="R227" s="34"/>
      <c r="S227" s="40"/>
      <c r="T227" s="11"/>
    </row>
    <row r="228" customFormat="false" ht="15.75" hidden="false" customHeight="true" outlineLevel="0" collapsed="false">
      <c r="A228" s="55"/>
      <c r="B228" s="34"/>
      <c r="C228" s="34"/>
      <c r="D228" s="34"/>
      <c r="E228" s="19"/>
      <c r="F228" s="34"/>
      <c r="G228" s="34"/>
      <c r="H228" s="34"/>
      <c r="I228" s="34"/>
      <c r="J228" s="34"/>
      <c r="K228" s="34"/>
      <c r="L228" s="34"/>
      <c r="M228" s="34"/>
      <c r="N228" s="34"/>
      <c r="O228" s="34"/>
      <c r="P228" s="34"/>
      <c r="Q228" s="34"/>
      <c r="R228" s="34"/>
      <c r="S228" s="40"/>
      <c r="T228" s="11"/>
    </row>
    <row r="229" customFormat="false" ht="15.75" hidden="false" customHeight="true" outlineLevel="0" collapsed="false">
      <c r="A229" s="55"/>
      <c r="B229" s="34"/>
      <c r="C229" s="34"/>
      <c r="D229" s="34"/>
      <c r="E229" s="19"/>
      <c r="F229" s="34"/>
      <c r="G229" s="34"/>
      <c r="H229" s="34"/>
      <c r="I229" s="34"/>
      <c r="J229" s="34"/>
      <c r="K229" s="34"/>
      <c r="L229" s="34"/>
      <c r="M229" s="34"/>
      <c r="N229" s="34"/>
      <c r="O229" s="34"/>
      <c r="P229" s="34"/>
      <c r="Q229" s="34"/>
      <c r="R229" s="34"/>
      <c r="S229" s="40"/>
      <c r="T229" s="11"/>
    </row>
    <row r="230" customFormat="false" ht="15.75" hidden="false" customHeight="true" outlineLevel="0" collapsed="false">
      <c r="A230" s="55"/>
      <c r="B230" s="34"/>
      <c r="C230" s="34"/>
      <c r="D230" s="34"/>
      <c r="E230" s="19"/>
      <c r="F230" s="34"/>
      <c r="G230" s="34"/>
      <c r="H230" s="34"/>
      <c r="I230" s="34"/>
      <c r="J230" s="34"/>
      <c r="K230" s="34"/>
      <c r="L230" s="34"/>
      <c r="M230" s="34"/>
      <c r="N230" s="34"/>
      <c r="O230" s="34"/>
      <c r="P230" s="34"/>
      <c r="Q230" s="34"/>
      <c r="R230" s="34"/>
      <c r="S230" s="40"/>
      <c r="T230" s="11"/>
    </row>
    <row r="231" customFormat="false" ht="15.75" hidden="false" customHeight="true" outlineLevel="0" collapsed="false">
      <c r="A231" s="55"/>
      <c r="B231" s="34"/>
      <c r="C231" s="34"/>
      <c r="D231" s="34"/>
      <c r="E231" s="19"/>
      <c r="F231" s="34"/>
      <c r="G231" s="34"/>
      <c r="H231" s="34"/>
      <c r="I231" s="34"/>
      <c r="J231" s="34"/>
      <c r="K231" s="34"/>
      <c r="L231" s="34"/>
      <c r="M231" s="34"/>
      <c r="N231" s="34"/>
      <c r="O231" s="34"/>
      <c r="P231" s="34"/>
      <c r="Q231" s="34"/>
      <c r="R231" s="34"/>
      <c r="S231" s="40"/>
      <c r="T231" s="11"/>
    </row>
    <row r="232" customFormat="false" ht="15.75" hidden="false" customHeight="true" outlineLevel="0" collapsed="false">
      <c r="A232" s="55"/>
      <c r="B232" s="34"/>
      <c r="C232" s="34"/>
      <c r="D232" s="34"/>
      <c r="E232" s="19"/>
      <c r="F232" s="34"/>
      <c r="G232" s="34"/>
      <c r="H232" s="34"/>
      <c r="I232" s="34"/>
      <c r="J232" s="34"/>
      <c r="K232" s="34"/>
      <c r="L232" s="34"/>
      <c r="M232" s="34"/>
      <c r="N232" s="34"/>
      <c r="O232" s="34"/>
      <c r="P232" s="34"/>
      <c r="Q232" s="34"/>
      <c r="R232" s="34"/>
      <c r="S232" s="40"/>
      <c r="T232" s="11"/>
    </row>
    <row r="233" customFormat="false" ht="15.75" hidden="false" customHeight="true" outlineLevel="0" collapsed="false">
      <c r="A233" s="55"/>
      <c r="B233" s="34"/>
      <c r="C233" s="34"/>
      <c r="D233" s="34"/>
      <c r="E233" s="19"/>
      <c r="F233" s="34"/>
      <c r="G233" s="34"/>
      <c r="H233" s="34"/>
      <c r="I233" s="34"/>
      <c r="J233" s="34"/>
      <c r="K233" s="34"/>
      <c r="L233" s="34"/>
      <c r="M233" s="34"/>
      <c r="N233" s="34"/>
      <c r="O233" s="34"/>
      <c r="P233" s="34"/>
      <c r="Q233" s="34"/>
      <c r="R233" s="34"/>
      <c r="S233" s="40"/>
      <c r="T233" s="11"/>
    </row>
    <row r="234" customFormat="false" ht="15.75" hidden="false" customHeight="true" outlineLevel="0" collapsed="false">
      <c r="A234" s="55"/>
      <c r="B234" s="34"/>
      <c r="C234" s="34"/>
      <c r="D234" s="34"/>
      <c r="E234" s="19"/>
      <c r="F234" s="34"/>
      <c r="G234" s="34"/>
      <c r="H234" s="34"/>
      <c r="I234" s="34"/>
      <c r="J234" s="34"/>
      <c r="K234" s="34"/>
      <c r="L234" s="34"/>
      <c r="M234" s="34"/>
      <c r="N234" s="34"/>
      <c r="O234" s="34"/>
      <c r="P234" s="34"/>
      <c r="Q234" s="34"/>
      <c r="R234" s="34"/>
      <c r="S234" s="40"/>
      <c r="T234" s="11"/>
    </row>
    <row r="235" customFormat="false" ht="15.75" hidden="false" customHeight="true" outlineLevel="0" collapsed="false">
      <c r="A235" s="55"/>
      <c r="B235" s="34"/>
      <c r="C235" s="34"/>
      <c r="D235" s="34"/>
      <c r="E235" s="19"/>
      <c r="F235" s="34"/>
      <c r="G235" s="34"/>
      <c r="H235" s="34"/>
      <c r="I235" s="34"/>
      <c r="J235" s="34"/>
      <c r="K235" s="34"/>
      <c r="L235" s="34"/>
      <c r="M235" s="34"/>
      <c r="N235" s="34"/>
      <c r="O235" s="34"/>
      <c r="P235" s="34"/>
      <c r="Q235" s="34"/>
      <c r="R235" s="34"/>
      <c r="S235" s="40"/>
      <c r="T235" s="11"/>
    </row>
    <row r="236" customFormat="false" ht="15.75" hidden="false" customHeight="true" outlineLevel="0" collapsed="false">
      <c r="A236" s="55"/>
      <c r="B236" s="34"/>
      <c r="C236" s="34"/>
      <c r="D236" s="34"/>
      <c r="E236" s="19"/>
      <c r="F236" s="34"/>
      <c r="G236" s="34"/>
      <c r="H236" s="34"/>
      <c r="I236" s="34"/>
      <c r="J236" s="34"/>
      <c r="K236" s="34"/>
      <c r="L236" s="34"/>
      <c r="M236" s="34"/>
      <c r="N236" s="34"/>
      <c r="O236" s="34"/>
      <c r="P236" s="34"/>
      <c r="Q236" s="34"/>
      <c r="R236" s="34"/>
      <c r="S236" s="40"/>
      <c r="T236" s="11"/>
    </row>
    <row r="237" customFormat="false" ht="15.75" hidden="false" customHeight="true" outlineLevel="0" collapsed="false">
      <c r="A237" s="55"/>
      <c r="B237" s="34"/>
      <c r="C237" s="34"/>
      <c r="D237" s="34"/>
      <c r="E237" s="19"/>
      <c r="F237" s="34"/>
      <c r="G237" s="34"/>
      <c r="H237" s="34"/>
      <c r="I237" s="34"/>
      <c r="J237" s="34"/>
      <c r="K237" s="34"/>
      <c r="L237" s="34"/>
      <c r="M237" s="34"/>
      <c r="N237" s="34"/>
      <c r="O237" s="34"/>
      <c r="P237" s="34"/>
      <c r="Q237" s="34"/>
      <c r="R237" s="34"/>
      <c r="S237" s="40"/>
      <c r="T237" s="11"/>
    </row>
    <row r="238" customFormat="false" ht="15.75" hidden="false" customHeight="true" outlineLevel="0" collapsed="false">
      <c r="A238" s="55"/>
      <c r="B238" s="34"/>
      <c r="C238" s="34"/>
      <c r="D238" s="34"/>
      <c r="E238" s="19"/>
      <c r="F238" s="34"/>
      <c r="G238" s="34"/>
      <c r="H238" s="34"/>
      <c r="I238" s="34"/>
      <c r="J238" s="34"/>
      <c r="K238" s="34"/>
      <c r="L238" s="34"/>
      <c r="M238" s="34"/>
      <c r="N238" s="34"/>
      <c r="O238" s="34"/>
      <c r="P238" s="34"/>
      <c r="Q238" s="34"/>
      <c r="R238" s="34"/>
      <c r="S238" s="40"/>
      <c r="T238" s="11"/>
    </row>
    <row r="239" customFormat="false" ht="15.75" hidden="false" customHeight="true" outlineLevel="0" collapsed="false">
      <c r="A239" s="55"/>
      <c r="B239" s="34"/>
      <c r="C239" s="34"/>
      <c r="D239" s="34"/>
      <c r="E239" s="19"/>
      <c r="F239" s="34"/>
      <c r="G239" s="34"/>
      <c r="H239" s="34"/>
      <c r="I239" s="34"/>
      <c r="J239" s="34"/>
      <c r="K239" s="34"/>
      <c r="L239" s="34"/>
      <c r="M239" s="34"/>
      <c r="N239" s="34"/>
      <c r="O239" s="34"/>
      <c r="P239" s="34"/>
      <c r="Q239" s="34"/>
      <c r="R239" s="34"/>
      <c r="S239" s="40"/>
      <c r="T239" s="11"/>
    </row>
    <row r="240" customFormat="false" ht="15.75" hidden="false" customHeight="true" outlineLevel="0" collapsed="false">
      <c r="A240" s="55"/>
      <c r="B240" s="34"/>
      <c r="C240" s="34"/>
      <c r="D240" s="34"/>
      <c r="E240" s="19"/>
      <c r="F240" s="34"/>
      <c r="G240" s="34"/>
      <c r="H240" s="34"/>
      <c r="I240" s="34"/>
      <c r="J240" s="34"/>
      <c r="K240" s="34"/>
      <c r="L240" s="34"/>
      <c r="M240" s="34"/>
      <c r="N240" s="34"/>
      <c r="O240" s="34"/>
      <c r="P240" s="34"/>
      <c r="Q240" s="34"/>
      <c r="R240" s="34"/>
      <c r="S240" s="40"/>
      <c r="T240" s="11"/>
    </row>
    <row r="241" customFormat="false" ht="15.75" hidden="false" customHeight="true" outlineLevel="0" collapsed="false">
      <c r="A241" s="55"/>
      <c r="B241" s="34"/>
      <c r="C241" s="34"/>
      <c r="D241" s="34"/>
      <c r="E241" s="19"/>
      <c r="F241" s="34"/>
      <c r="G241" s="34"/>
      <c r="H241" s="34"/>
      <c r="I241" s="34"/>
      <c r="J241" s="34"/>
      <c r="K241" s="34"/>
      <c r="L241" s="34"/>
      <c r="M241" s="34"/>
      <c r="N241" s="34"/>
      <c r="O241" s="34"/>
      <c r="P241" s="34"/>
      <c r="Q241" s="34"/>
      <c r="R241" s="34"/>
      <c r="S241" s="40"/>
      <c r="T241" s="11"/>
    </row>
    <row r="242" customFormat="false" ht="15.75" hidden="false" customHeight="true" outlineLevel="0" collapsed="false">
      <c r="A242" s="55"/>
      <c r="B242" s="34"/>
      <c r="C242" s="34"/>
      <c r="D242" s="34"/>
      <c r="E242" s="19"/>
      <c r="F242" s="34"/>
      <c r="G242" s="34"/>
      <c r="H242" s="34"/>
      <c r="I242" s="34"/>
      <c r="J242" s="34"/>
      <c r="K242" s="34"/>
      <c r="L242" s="34"/>
      <c r="M242" s="34"/>
      <c r="N242" s="34"/>
      <c r="O242" s="34"/>
      <c r="P242" s="34"/>
      <c r="Q242" s="34"/>
      <c r="R242" s="34"/>
      <c r="S242" s="40"/>
      <c r="T242" s="11"/>
    </row>
    <row r="243" customFormat="false" ht="15.75" hidden="false" customHeight="true" outlineLevel="0" collapsed="false">
      <c r="A243" s="55"/>
      <c r="B243" s="34"/>
      <c r="C243" s="34"/>
      <c r="D243" s="34"/>
      <c r="E243" s="19"/>
      <c r="F243" s="34"/>
      <c r="G243" s="34"/>
      <c r="H243" s="34"/>
      <c r="I243" s="34"/>
      <c r="J243" s="34"/>
      <c r="K243" s="34"/>
      <c r="L243" s="34"/>
      <c r="M243" s="34"/>
      <c r="N243" s="34"/>
      <c r="O243" s="34"/>
      <c r="P243" s="34"/>
      <c r="Q243" s="34"/>
      <c r="R243" s="34"/>
      <c r="S243" s="40"/>
      <c r="T243" s="11"/>
    </row>
    <row r="244" customFormat="false" ht="15.75" hidden="false" customHeight="true" outlineLevel="0" collapsed="false">
      <c r="A244" s="55"/>
      <c r="B244" s="34"/>
      <c r="C244" s="34"/>
      <c r="D244" s="34"/>
      <c r="E244" s="19"/>
      <c r="F244" s="34"/>
      <c r="G244" s="34"/>
      <c r="H244" s="34"/>
      <c r="I244" s="34"/>
      <c r="J244" s="34"/>
      <c r="K244" s="34"/>
      <c r="L244" s="34"/>
      <c r="M244" s="34"/>
      <c r="N244" s="34"/>
      <c r="O244" s="34"/>
      <c r="P244" s="34"/>
      <c r="Q244" s="34"/>
      <c r="R244" s="34"/>
      <c r="S244" s="40"/>
      <c r="T244" s="11"/>
    </row>
    <row r="245" customFormat="false" ht="15.75" hidden="false" customHeight="true" outlineLevel="0" collapsed="false">
      <c r="A245" s="55"/>
      <c r="B245" s="34"/>
      <c r="C245" s="34"/>
      <c r="D245" s="34"/>
      <c r="E245" s="19"/>
      <c r="F245" s="34"/>
      <c r="G245" s="34"/>
      <c r="H245" s="34"/>
      <c r="I245" s="34"/>
      <c r="J245" s="34"/>
      <c r="K245" s="34"/>
      <c r="L245" s="34"/>
      <c r="M245" s="34"/>
      <c r="N245" s="34"/>
      <c r="O245" s="34"/>
      <c r="P245" s="34"/>
      <c r="Q245" s="34"/>
      <c r="R245" s="34"/>
      <c r="S245" s="40"/>
      <c r="T245" s="11"/>
    </row>
    <row r="246" customFormat="false" ht="15.75" hidden="false" customHeight="true" outlineLevel="0" collapsed="false">
      <c r="A246" s="55"/>
      <c r="B246" s="34"/>
      <c r="C246" s="34"/>
      <c r="D246" s="34"/>
      <c r="E246" s="19"/>
      <c r="F246" s="34"/>
      <c r="G246" s="34"/>
      <c r="H246" s="34"/>
      <c r="I246" s="34"/>
      <c r="J246" s="34"/>
      <c r="K246" s="34"/>
      <c r="L246" s="34"/>
      <c r="M246" s="34"/>
      <c r="N246" s="34"/>
      <c r="O246" s="34"/>
      <c r="P246" s="34"/>
      <c r="Q246" s="34"/>
      <c r="R246" s="34"/>
      <c r="S246" s="40"/>
      <c r="T246" s="11"/>
    </row>
    <row r="247" customFormat="false" ht="15.75" hidden="false" customHeight="true" outlineLevel="0" collapsed="false">
      <c r="A247" s="55"/>
      <c r="B247" s="34"/>
      <c r="C247" s="34"/>
      <c r="D247" s="34"/>
      <c r="E247" s="19"/>
      <c r="F247" s="34"/>
      <c r="G247" s="34"/>
      <c r="H247" s="34"/>
      <c r="I247" s="34"/>
      <c r="J247" s="34"/>
      <c r="K247" s="34"/>
      <c r="L247" s="34"/>
      <c r="M247" s="34"/>
      <c r="N247" s="34"/>
      <c r="O247" s="34"/>
      <c r="P247" s="34"/>
      <c r="Q247" s="34"/>
      <c r="R247" s="34"/>
      <c r="S247" s="40"/>
      <c r="T247" s="11"/>
    </row>
    <row r="248" customFormat="false" ht="15.75" hidden="false" customHeight="true" outlineLevel="0" collapsed="false">
      <c r="A248" s="55"/>
      <c r="B248" s="34"/>
      <c r="C248" s="34"/>
      <c r="D248" s="34"/>
      <c r="E248" s="19"/>
      <c r="F248" s="34"/>
      <c r="G248" s="34"/>
      <c r="H248" s="34"/>
      <c r="I248" s="34"/>
      <c r="J248" s="34"/>
      <c r="K248" s="34"/>
      <c r="L248" s="34"/>
      <c r="M248" s="34"/>
      <c r="N248" s="34"/>
      <c r="O248" s="34"/>
      <c r="P248" s="34"/>
      <c r="Q248" s="34"/>
      <c r="R248" s="34"/>
      <c r="S248" s="40"/>
      <c r="T248" s="11"/>
    </row>
    <row r="249" customFormat="false" ht="15.75" hidden="false" customHeight="true" outlineLevel="0" collapsed="false">
      <c r="A249" s="55"/>
      <c r="B249" s="34"/>
      <c r="C249" s="34"/>
      <c r="D249" s="34"/>
      <c r="E249" s="19"/>
      <c r="F249" s="34"/>
      <c r="G249" s="34"/>
      <c r="H249" s="34"/>
      <c r="I249" s="34"/>
      <c r="J249" s="34"/>
      <c r="K249" s="34"/>
      <c r="L249" s="34"/>
      <c r="M249" s="34"/>
      <c r="N249" s="34"/>
      <c r="O249" s="34"/>
      <c r="P249" s="34"/>
      <c r="Q249" s="34"/>
      <c r="R249" s="34"/>
      <c r="S249" s="40"/>
      <c r="T249" s="11"/>
    </row>
    <row r="250" customFormat="false" ht="15.75" hidden="false" customHeight="true" outlineLevel="0" collapsed="false">
      <c r="A250" s="55"/>
      <c r="B250" s="34"/>
      <c r="C250" s="34"/>
      <c r="D250" s="34"/>
      <c r="E250" s="19"/>
      <c r="F250" s="34"/>
      <c r="G250" s="34"/>
      <c r="H250" s="34"/>
      <c r="I250" s="34"/>
      <c r="J250" s="34"/>
      <c r="K250" s="34"/>
      <c r="L250" s="34"/>
      <c r="M250" s="34"/>
      <c r="N250" s="34"/>
      <c r="O250" s="34"/>
      <c r="P250" s="34"/>
      <c r="Q250" s="34"/>
      <c r="R250" s="34"/>
      <c r="S250" s="40"/>
      <c r="T250" s="11"/>
    </row>
    <row r="251" customFormat="false" ht="15.75" hidden="false" customHeight="true" outlineLevel="0" collapsed="false">
      <c r="A251" s="55"/>
      <c r="B251" s="34"/>
      <c r="C251" s="34"/>
      <c r="D251" s="34"/>
      <c r="E251" s="19"/>
      <c r="F251" s="34"/>
      <c r="G251" s="34"/>
      <c r="H251" s="34"/>
      <c r="I251" s="34"/>
      <c r="J251" s="34"/>
      <c r="K251" s="34"/>
      <c r="L251" s="34"/>
      <c r="M251" s="34"/>
      <c r="N251" s="34"/>
      <c r="O251" s="34"/>
      <c r="P251" s="34"/>
      <c r="Q251" s="34"/>
      <c r="R251" s="34"/>
      <c r="S251" s="40"/>
      <c r="T251" s="11"/>
    </row>
    <row r="252" customFormat="false" ht="15.75" hidden="false" customHeight="true" outlineLevel="0" collapsed="false">
      <c r="A252" s="55"/>
      <c r="B252" s="34"/>
      <c r="C252" s="34"/>
      <c r="D252" s="34"/>
      <c r="E252" s="19"/>
      <c r="F252" s="34"/>
      <c r="G252" s="34"/>
      <c r="H252" s="34"/>
      <c r="I252" s="34"/>
      <c r="J252" s="34"/>
      <c r="K252" s="34"/>
      <c r="L252" s="34"/>
      <c r="M252" s="34"/>
      <c r="N252" s="34"/>
      <c r="O252" s="34"/>
      <c r="P252" s="34"/>
      <c r="Q252" s="34"/>
      <c r="R252" s="34"/>
      <c r="S252" s="40"/>
      <c r="T252" s="11"/>
    </row>
    <row r="253" customFormat="false" ht="15.75" hidden="false" customHeight="true" outlineLevel="0" collapsed="false">
      <c r="A253" s="55"/>
      <c r="B253" s="34"/>
      <c r="C253" s="34"/>
      <c r="D253" s="34"/>
      <c r="E253" s="19"/>
      <c r="F253" s="34"/>
      <c r="G253" s="34"/>
      <c r="H253" s="34"/>
      <c r="I253" s="34"/>
      <c r="J253" s="34"/>
      <c r="K253" s="34"/>
      <c r="L253" s="34"/>
      <c r="M253" s="34"/>
      <c r="N253" s="34"/>
      <c r="O253" s="34"/>
      <c r="P253" s="34"/>
      <c r="Q253" s="34"/>
      <c r="R253" s="34"/>
      <c r="S253" s="40"/>
      <c r="T253" s="11"/>
    </row>
    <row r="254" customFormat="false" ht="15.75" hidden="false" customHeight="true" outlineLevel="0" collapsed="false">
      <c r="A254" s="55"/>
      <c r="B254" s="34"/>
      <c r="C254" s="34"/>
      <c r="D254" s="34"/>
      <c r="E254" s="19"/>
      <c r="F254" s="34"/>
      <c r="G254" s="34"/>
      <c r="H254" s="34"/>
      <c r="I254" s="34"/>
      <c r="J254" s="34"/>
      <c r="K254" s="34"/>
      <c r="L254" s="34"/>
      <c r="M254" s="34"/>
      <c r="N254" s="34"/>
      <c r="O254" s="34"/>
      <c r="P254" s="34"/>
      <c r="Q254" s="34"/>
      <c r="R254" s="34"/>
      <c r="S254" s="40"/>
      <c r="T254" s="11"/>
    </row>
    <row r="255" customFormat="false" ht="15.75" hidden="false" customHeight="true" outlineLevel="0" collapsed="false">
      <c r="A255" s="55"/>
      <c r="B255" s="34"/>
      <c r="C255" s="34"/>
      <c r="D255" s="34"/>
      <c r="E255" s="19"/>
      <c r="F255" s="34"/>
      <c r="G255" s="34"/>
      <c r="H255" s="34"/>
      <c r="I255" s="34"/>
      <c r="J255" s="34"/>
      <c r="K255" s="34"/>
      <c r="L255" s="34"/>
      <c r="M255" s="34"/>
      <c r="N255" s="34"/>
      <c r="O255" s="34"/>
      <c r="P255" s="34"/>
      <c r="Q255" s="34"/>
      <c r="R255" s="34"/>
      <c r="S255" s="40"/>
      <c r="T255" s="11"/>
    </row>
    <row r="256" customFormat="false" ht="15.75" hidden="false" customHeight="true" outlineLevel="0" collapsed="false">
      <c r="A256" s="55"/>
      <c r="B256" s="34"/>
      <c r="C256" s="34"/>
      <c r="D256" s="34"/>
      <c r="E256" s="19"/>
      <c r="F256" s="34"/>
      <c r="G256" s="34"/>
      <c r="H256" s="34"/>
      <c r="I256" s="34"/>
      <c r="J256" s="34"/>
      <c r="K256" s="34"/>
      <c r="L256" s="34"/>
      <c r="M256" s="34"/>
      <c r="N256" s="34"/>
      <c r="O256" s="34"/>
      <c r="P256" s="34"/>
      <c r="Q256" s="34"/>
      <c r="R256" s="34"/>
      <c r="S256" s="40"/>
      <c r="T256" s="11"/>
    </row>
    <row r="257" customFormat="false" ht="15.75" hidden="false" customHeight="true" outlineLevel="0" collapsed="false">
      <c r="A257" s="55"/>
      <c r="B257" s="34"/>
      <c r="C257" s="34"/>
      <c r="D257" s="34"/>
      <c r="E257" s="19"/>
      <c r="F257" s="34"/>
      <c r="G257" s="34"/>
      <c r="H257" s="34"/>
      <c r="I257" s="34"/>
      <c r="J257" s="34"/>
      <c r="K257" s="34"/>
      <c r="L257" s="34"/>
      <c r="M257" s="34"/>
      <c r="N257" s="34"/>
      <c r="O257" s="34"/>
      <c r="P257" s="34"/>
      <c r="Q257" s="34"/>
      <c r="R257" s="34"/>
      <c r="S257" s="40"/>
      <c r="T257" s="11"/>
    </row>
    <row r="258" customFormat="false" ht="15.75" hidden="false" customHeight="true" outlineLevel="0" collapsed="false">
      <c r="A258" s="55"/>
      <c r="B258" s="34"/>
      <c r="C258" s="34"/>
      <c r="D258" s="34"/>
      <c r="E258" s="19"/>
      <c r="F258" s="34"/>
      <c r="G258" s="34"/>
      <c r="H258" s="34"/>
      <c r="I258" s="34"/>
      <c r="J258" s="34"/>
      <c r="K258" s="34"/>
      <c r="L258" s="34"/>
      <c r="M258" s="34"/>
      <c r="N258" s="34"/>
      <c r="O258" s="34"/>
      <c r="P258" s="34"/>
      <c r="Q258" s="34"/>
      <c r="R258" s="34"/>
      <c r="S258" s="40"/>
      <c r="T258" s="11"/>
    </row>
    <row r="259" customFormat="false" ht="15.75" hidden="false" customHeight="true" outlineLevel="0" collapsed="false">
      <c r="A259" s="55"/>
      <c r="B259" s="34"/>
      <c r="C259" s="34"/>
      <c r="D259" s="34"/>
      <c r="E259" s="19"/>
      <c r="F259" s="34"/>
      <c r="G259" s="34"/>
      <c r="H259" s="34"/>
      <c r="I259" s="34"/>
      <c r="J259" s="34"/>
      <c r="K259" s="34"/>
      <c r="L259" s="34"/>
      <c r="M259" s="34"/>
      <c r="N259" s="34"/>
      <c r="O259" s="34"/>
      <c r="P259" s="34"/>
      <c r="Q259" s="34"/>
      <c r="R259" s="34"/>
      <c r="S259" s="40"/>
      <c r="T259" s="11"/>
    </row>
    <row r="260" customFormat="false" ht="15.75" hidden="false" customHeight="true" outlineLevel="0" collapsed="false">
      <c r="A260" s="55"/>
      <c r="B260" s="34"/>
      <c r="C260" s="34"/>
      <c r="D260" s="34"/>
      <c r="E260" s="19"/>
      <c r="F260" s="34"/>
      <c r="G260" s="34"/>
      <c r="H260" s="34"/>
      <c r="I260" s="34"/>
      <c r="J260" s="34"/>
      <c r="K260" s="34"/>
      <c r="L260" s="34"/>
      <c r="M260" s="34"/>
      <c r="N260" s="34"/>
      <c r="O260" s="34"/>
      <c r="P260" s="34"/>
      <c r="Q260" s="34"/>
      <c r="R260" s="34"/>
      <c r="S260" s="40"/>
      <c r="T260" s="11"/>
    </row>
    <row r="261" customFormat="false" ht="15.75" hidden="false" customHeight="true" outlineLevel="0" collapsed="false">
      <c r="A261" s="55"/>
      <c r="B261" s="34"/>
      <c r="C261" s="34"/>
      <c r="D261" s="34"/>
      <c r="E261" s="19"/>
      <c r="F261" s="34"/>
      <c r="G261" s="34"/>
      <c r="H261" s="34"/>
      <c r="I261" s="34"/>
      <c r="J261" s="34"/>
      <c r="K261" s="34"/>
      <c r="L261" s="34"/>
      <c r="M261" s="34"/>
      <c r="N261" s="34"/>
      <c r="O261" s="34"/>
      <c r="P261" s="34"/>
      <c r="Q261" s="34"/>
      <c r="R261" s="34"/>
      <c r="S261" s="40"/>
      <c r="T261" s="11"/>
    </row>
    <row r="262" customFormat="false" ht="15.75" hidden="false" customHeight="true" outlineLevel="0" collapsed="false">
      <c r="A262" s="55"/>
      <c r="B262" s="34"/>
      <c r="C262" s="34"/>
      <c r="D262" s="34"/>
      <c r="E262" s="19"/>
      <c r="F262" s="34"/>
      <c r="G262" s="34"/>
      <c r="H262" s="34"/>
      <c r="I262" s="34"/>
      <c r="J262" s="34"/>
      <c r="K262" s="34"/>
      <c r="L262" s="34"/>
      <c r="M262" s="34"/>
      <c r="N262" s="34"/>
      <c r="O262" s="34"/>
      <c r="P262" s="34"/>
      <c r="Q262" s="34"/>
      <c r="R262" s="34"/>
      <c r="S262" s="40"/>
      <c r="T262" s="11"/>
    </row>
    <row r="263" customFormat="false" ht="15.75" hidden="false" customHeight="true" outlineLevel="0" collapsed="false">
      <c r="A263" s="55"/>
      <c r="B263" s="34"/>
      <c r="C263" s="34"/>
      <c r="D263" s="34"/>
      <c r="E263" s="19"/>
      <c r="F263" s="34"/>
      <c r="G263" s="34"/>
      <c r="H263" s="34"/>
      <c r="I263" s="34"/>
      <c r="J263" s="34"/>
      <c r="K263" s="34"/>
      <c r="L263" s="34"/>
      <c r="M263" s="34"/>
      <c r="N263" s="34"/>
      <c r="O263" s="34"/>
      <c r="P263" s="34"/>
      <c r="Q263" s="34"/>
      <c r="R263" s="34"/>
      <c r="S263" s="40"/>
      <c r="T263" s="11"/>
    </row>
    <row r="264" customFormat="false" ht="15.75" hidden="false" customHeight="true" outlineLevel="0" collapsed="false">
      <c r="A264" s="55"/>
      <c r="B264" s="34"/>
      <c r="C264" s="34"/>
      <c r="D264" s="34"/>
      <c r="E264" s="19"/>
      <c r="F264" s="34"/>
      <c r="G264" s="34"/>
      <c r="H264" s="34"/>
      <c r="I264" s="34"/>
      <c r="J264" s="34"/>
      <c r="K264" s="34"/>
      <c r="L264" s="34"/>
      <c r="M264" s="34"/>
      <c r="N264" s="34"/>
      <c r="O264" s="34"/>
      <c r="P264" s="34"/>
      <c r="Q264" s="34"/>
      <c r="R264" s="34"/>
      <c r="S264" s="40"/>
      <c r="T264" s="11"/>
    </row>
    <row r="265" customFormat="false" ht="15.75" hidden="false" customHeight="true" outlineLevel="0" collapsed="false">
      <c r="A265" s="55"/>
      <c r="B265" s="34"/>
      <c r="C265" s="34"/>
      <c r="D265" s="34"/>
      <c r="E265" s="19"/>
      <c r="F265" s="34"/>
      <c r="G265" s="34"/>
      <c r="H265" s="34"/>
      <c r="I265" s="34"/>
      <c r="J265" s="34"/>
      <c r="K265" s="34"/>
      <c r="L265" s="34"/>
      <c r="M265" s="34"/>
      <c r="N265" s="34"/>
      <c r="O265" s="34"/>
      <c r="P265" s="34"/>
      <c r="Q265" s="34"/>
      <c r="R265" s="34"/>
      <c r="S265" s="40"/>
      <c r="T265" s="11"/>
    </row>
    <row r="266" customFormat="false" ht="15.75" hidden="false" customHeight="true" outlineLevel="0" collapsed="false">
      <c r="A266" s="55"/>
      <c r="B266" s="34"/>
      <c r="C266" s="34"/>
      <c r="D266" s="34"/>
      <c r="E266" s="19"/>
      <c r="F266" s="34"/>
      <c r="G266" s="34"/>
      <c r="H266" s="34"/>
      <c r="I266" s="34"/>
      <c r="J266" s="34"/>
      <c r="K266" s="34"/>
      <c r="L266" s="34"/>
      <c r="M266" s="34"/>
      <c r="N266" s="34"/>
      <c r="O266" s="34"/>
      <c r="P266" s="34"/>
      <c r="Q266" s="34"/>
      <c r="R266" s="34"/>
      <c r="S266" s="40"/>
      <c r="T266" s="11"/>
    </row>
    <row r="267" customFormat="false" ht="15.75" hidden="false" customHeight="true" outlineLevel="0" collapsed="false">
      <c r="A267" s="55"/>
      <c r="B267" s="34"/>
      <c r="C267" s="34"/>
      <c r="D267" s="34"/>
      <c r="E267" s="19"/>
      <c r="F267" s="34"/>
      <c r="G267" s="34"/>
      <c r="H267" s="34"/>
      <c r="I267" s="34"/>
      <c r="J267" s="34"/>
      <c r="K267" s="34"/>
      <c r="L267" s="34"/>
      <c r="M267" s="34"/>
      <c r="N267" s="34"/>
      <c r="O267" s="34"/>
      <c r="P267" s="34"/>
      <c r="Q267" s="34"/>
      <c r="R267" s="34"/>
      <c r="S267" s="40"/>
      <c r="T267" s="11"/>
    </row>
    <row r="268" customFormat="false" ht="15.75" hidden="false" customHeight="true" outlineLevel="0" collapsed="false">
      <c r="A268" s="55"/>
      <c r="B268" s="34"/>
      <c r="C268" s="34"/>
      <c r="D268" s="34"/>
      <c r="E268" s="19"/>
      <c r="F268" s="34"/>
      <c r="G268" s="34"/>
      <c r="H268" s="34"/>
      <c r="I268" s="34"/>
      <c r="J268" s="34"/>
      <c r="K268" s="34"/>
      <c r="L268" s="34"/>
      <c r="M268" s="34"/>
      <c r="N268" s="34"/>
      <c r="O268" s="34"/>
      <c r="P268" s="34"/>
      <c r="Q268" s="34"/>
      <c r="R268" s="34"/>
      <c r="S268" s="40"/>
      <c r="T268" s="11"/>
    </row>
    <row r="269" customFormat="false" ht="15.75" hidden="false" customHeight="true" outlineLevel="0" collapsed="false">
      <c r="A269" s="55"/>
      <c r="B269" s="34"/>
      <c r="C269" s="34"/>
      <c r="D269" s="34"/>
      <c r="E269" s="19"/>
      <c r="F269" s="34"/>
      <c r="G269" s="34"/>
      <c r="H269" s="34"/>
      <c r="I269" s="34"/>
      <c r="J269" s="34"/>
      <c r="K269" s="34"/>
      <c r="L269" s="34"/>
      <c r="M269" s="34"/>
      <c r="N269" s="34"/>
      <c r="O269" s="34"/>
      <c r="P269" s="34"/>
      <c r="Q269" s="34"/>
      <c r="R269" s="34"/>
      <c r="S269" s="40"/>
      <c r="T269" s="11"/>
    </row>
    <row r="270" customFormat="false" ht="15.75" hidden="false" customHeight="true" outlineLevel="0" collapsed="false">
      <c r="A270" s="55"/>
      <c r="B270" s="34"/>
      <c r="C270" s="34"/>
      <c r="D270" s="34"/>
      <c r="E270" s="19"/>
      <c r="F270" s="34"/>
      <c r="G270" s="34"/>
      <c r="H270" s="34"/>
      <c r="I270" s="34"/>
      <c r="J270" s="34"/>
      <c r="K270" s="34"/>
      <c r="L270" s="34"/>
      <c r="M270" s="34"/>
      <c r="N270" s="34"/>
      <c r="O270" s="34"/>
      <c r="P270" s="34"/>
      <c r="Q270" s="34"/>
      <c r="R270" s="34"/>
      <c r="S270" s="40"/>
      <c r="T270" s="11"/>
    </row>
    <row r="271" customFormat="false" ht="15.75" hidden="false" customHeight="true" outlineLevel="0" collapsed="false">
      <c r="A271" s="55"/>
      <c r="B271" s="34"/>
      <c r="C271" s="34"/>
      <c r="D271" s="34"/>
      <c r="E271" s="19"/>
      <c r="F271" s="34"/>
      <c r="G271" s="34"/>
      <c r="H271" s="34"/>
      <c r="I271" s="34"/>
      <c r="J271" s="34"/>
      <c r="K271" s="34"/>
      <c r="L271" s="34"/>
      <c r="M271" s="34"/>
      <c r="N271" s="34"/>
      <c r="O271" s="34"/>
      <c r="P271" s="34"/>
      <c r="Q271" s="34"/>
      <c r="R271" s="34"/>
      <c r="S271" s="40"/>
      <c r="T271" s="11"/>
    </row>
    <row r="272" customFormat="false" ht="15.75" hidden="false" customHeight="true" outlineLevel="0" collapsed="false">
      <c r="A272" s="55"/>
      <c r="B272" s="34"/>
      <c r="C272" s="34"/>
      <c r="D272" s="34"/>
      <c r="E272" s="19"/>
      <c r="F272" s="34"/>
      <c r="G272" s="34"/>
      <c r="H272" s="34"/>
      <c r="I272" s="34"/>
      <c r="J272" s="34"/>
      <c r="K272" s="34"/>
      <c r="L272" s="34"/>
      <c r="M272" s="34"/>
      <c r="N272" s="34"/>
      <c r="O272" s="34"/>
      <c r="P272" s="34"/>
      <c r="Q272" s="34"/>
      <c r="R272" s="34"/>
      <c r="S272" s="40"/>
      <c r="T272" s="11"/>
    </row>
    <row r="273" customFormat="false" ht="15.75" hidden="false" customHeight="true" outlineLevel="0" collapsed="false">
      <c r="A273" s="55"/>
      <c r="B273" s="34"/>
      <c r="C273" s="34"/>
      <c r="D273" s="34"/>
      <c r="E273" s="19"/>
      <c r="F273" s="34"/>
      <c r="G273" s="34"/>
      <c r="H273" s="34"/>
      <c r="I273" s="34"/>
      <c r="J273" s="34"/>
      <c r="K273" s="34"/>
      <c r="L273" s="34"/>
      <c r="M273" s="34"/>
      <c r="N273" s="34"/>
      <c r="O273" s="34"/>
      <c r="P273" s="34"/>
      <c r="Q273" s="34"/>
      <c r="R273" s="34"/>
      <c r="S273" s="40"/>
      <c r="T273" s="11"/>
    </row>
    <row r="274" customFormat="false" ht="15.75" hidden="false" customHeight="true" outlineLevel="0" collapsed="false">
      <c r="A274" s="55"/>
      <c r="B274" s="34"/>
      <c r="C274" s="34"/>
      <c r="D274" s="34"/>
      <c r="E274" s="19"/>
      <c r="F274" s="34"/>
      <c r="G274" s="34"/>
      <c r="H274" s="34"/>
      <c r="I274" s="34"/>
      <c r="J274" s="34"/>
      <c r="K274" s="34"/>
      <c r="L274" s="34"/>
      <c r="M274" s="34"/>
      <c r="N274" s="34"/>
      <c r="O274" s="34"/>
      <c r="P274" s="34"/>
      <c r="Q274" s="34"/>
      <c r="R274" s="34"/>
      <c r="S274" s="40"/>
      <c r="T274" s="11"/>
    </row>
    <row r="275" customFormat="false" ht="15.75" hidden="false" customHeight="true" outlineLevel="0" collapsed="false">
      <c r="A275" s="55"/>
      <c r="B275" s="34"/>
      <c r="C275" s="34"/>
      <c r="D275" s="34"/>
      <c r="E275" s="19"/>
      <c r="F275" s="34"/>
      <c r="G275" s="34"/>
      <c r="H275" s="34"/>
      <c r="I275" s="34"/>
      <c r="J275" s="34"/>
      <c r="K275" s="34"/>
      <c r="L275" s="34"/>
      <c r="M275" s="34"/>
      <c r="N275" s="34"/>
      <c r="O275" s="34"/>
      <c r="P275" s="34"/>
      <c r="Q275" s="34"/>
      <c r="R275" s="34"/>
      <c r="S275" s="40"/>
      <c r="T275" s="11"/>
    </row>
    <row r="276" customFormat="false" ht="15.75" hidden="false" customHeight="true" outlineLevel="0" collapsed="false">
      <c r="A276" s="55"/>
      <c r="B276" s="34"/>
      <c r="C276" s="34"/>
      <c r="D276" s="34"/>
      <c r="E276" s="19"/>
      <c r="F276" s="34"/>
      <c r="G276" s="34"/>
      <c r="H276" s="34"/>
      <c r="I276" s="34"/>
      <c r="J276" s="34"/>
      <c r="K276" s="34"/>
      <c r="L276" s="34"/>
      <c r="M276" s="34"/>
      <c r="N276" s="34"/>
      <c r="O276" s="34"/>
      <c r="P276" s="34"/>
      <c r="Q276" s="34"/>
      <c r="R276" s="34"/>
      <c r="S276" s="40"/>
      <c r="T276" s="11"/>
    </row>
    <row r="277" customFormat="false" ht="15.75" hidden="false" customHeight="true" outlineLevel="0" collapsed="false">
      <c r="A277" s="55"/>
      <c r="B277" s="34"/>
      <c r="C277" s="34"/>
      <c r="D277" s="34"/>
      <c r="E277" s="19"/>
      <c r="F277" s="34"/>
      <c r="G277" s="34"/>
      <c r="H277" s="34"/>
      <c r="I277" s="34"/>
      <c r="J277" s="34"/>
      <c r="K277" s="34"/>
      <c r="L277" s="34"/>
      <c r="M277" s="34"/>
      <c r="N277" s="34"/>
      <c r="O277" s="34"/>
      <c r="P277" s="34"/>
      <c r="Q277" s="34"/>
      <c r="R277" s="34"/>
      <c r="S277" s="40"/>
      <c r="T277" s="11"/>
    </row>
    <row r="278" customFormat="false" ht="15.75" hidden="false" customHeight="true" outlineLevel="0" collapsed="false">
      <c r="A278" s="55"/>
      <c r="B278" s="34"/>
      <c r="C278" s="34"/>
      <c r="D278" s="34"/>
      <c r="E278" s="19"/>
      <c r="F278" s="34"/>
      <c r="G278" s="34"/>
      <c r="H278" s="34"/>
      <c r="I278" s="34"/>
      <c r="J278" s="34"/>
      <c r="K278" s="34"/>
      <c r="L278" s="34"/>
      <c r="M278" s="34"/>
      <c r="N278" s="34"/>
      <c r="O278" s="34"/>
      <c r="P278" s="34"/>
      <c r="Q278" s="34"/>
      <c r="R278" s="34"/>
      <c r="S278" s="40"/>
      <c r="T278" s="11"/>
    </row>
    <row r="279" customFormat="false" ht="15.75" hidden="false" customHeight="true" outlineLevel="0" collapsed="false">
      <c r="A279" s="55"/>
      <c r="B279" s="34"/>
      <c r="C279" s="34"/>
      <c r="D279" s="34"/>
      <c r="E279" s="19"/>
      <c r="F279" s="34"/>
      <c r="G279" s="34"/>
      <c r="H279" s="34"/>
      <c r="I279" s="34"/>
      <c r="J279" s="34"/>
      <c r="K279" s="34"/>
      <c r="L279" s="34"/>
      <c r="M279" s="34"/>
      <c r="N279" s="34"/>
      <c r="O279" s="34"/>
      <c r="P279" s="34"/>
      <c r="Q279" s="34"/>
      <c r="R279" s="34"/>
      <c r="S279" s="40"/>
      <c r="T279" s="11"/>
    </row>
    <row r="280" customFormat="false" ht="15.75" hidden="false" customHeight="true" outlineLevel="0" collapsed="false">
      <c r="A280" s="55"/>
      <c r="B280" s="34"/>
      <c r="C280" s="34"/>
      <c r="D280" s="34"/>
      <c r="E280" s="19"/>
      <c r="F280" s="34"/>
      <c r="G280" s="34"/>
      <c r="H280" s="34"/>
      <c r="I280" s="34"/>
      <c r="J280" s="34"/>
      <c r="K280" s="34"/>
      <c r="L280" s="34"/>
      <c r="M280" s="34"/>
      <c r="N280" s="34"/>
      <c r="O280" s="34"/>
      <c r="P280" s="34"/>
      <c r="Q280" s="34"/>
      <c r="R280" s="34"/>
      <c r="S280" s="40"/>
      <c r="T280" s="11"/>
    </row>
    <row r="281" customFormat="false" ht="15.75" hidden="false" customHeight="true" outlineLevel="0" collapsed="false">
      <c r="A281" s="55"/>
      <c r="B281" s="34"/>
      <c r="C281" s="34"/>
      <c r="D281" s="34"/>
      <c r="E281" s="19"/>
      <c r="F281" s="34"/>
      <c r="G281" s="34"/>
      <c r="H281" s="34"/>
      <c r="I281" s="34"/>
      <c r="J281" s="34"/>
      <c r="K281" s="34"/>
      <c r="L281" s="34"/>
      <c r="M281" s="34"/>
      <c r="N281" s="34"/>
      <c r="O281" s="34"/>
      <c r="P281" s="34"/>
      <c r="Q281" s="34"/>
      <c r="R281" s="34"/>
      <c r="S281" s="40"/>
      <c r="T281" s="11"/>
    </row>
    <row r="282" customFormat="false" ht="15.75" hidden="false" customHeight="true" outlineLevel="0" collapsed="false">
      <c r="A282" s="55"/>
      <c r="B282" s="34"/>
      <c r="C282" s="34"/>
      <c r="D282" s="34"/>
      <c r="E282" s="19"/>
      <c r="F282" s="34"/>
      <c r="G282" s="34"/>
      <c r="H282" s="34"/>
      <c r="I282" s="34"/>
      <c r="J282" s="34"/>
      <c r="K282" s="34"/>
      <c r="L282" s="34"/>
      <c r="M282" s="34"/>
      <c r="N282" s="34"/>
      <c r="O282" s="34"/>
      <c r="P282" s="34"/>
      <c r="Q282" s="34"/>
      <c r="R282" s="34"/>
      <c r="S282" s="40"/>
      <c r="T282" s="11"/>
    </row>
    <row r="283" customFormat="false" ht="15.75" hidden="false" customHeight="true" outlineLevel="0" collapsed="false">
      <c r="A283" s="55"/>
      <c r="B283" s="34"/>
      <c r="C283" s="34"/>
      <c r="D283" s="34"/>
      <c r="E283" s="19"/>
      <c r="F283" s="34"/>
      <c r="G283" s="34"/>
      <c r="H283" s="34"/>
      <c r="I283" s="34"/>
      <c r="J283" s="34"/>
      <c r="K283" s="34"/>
      <c r="L283" s="34"/>
      <c r="M283" s="34"/>
      <c r="N283" s="34"/>
      <c r="O283" s="34"/>
      <c r="P283" s="34"/>
      <c r="Q283" s="34"/>
      <c r="R283" s="34"/>
      <c r="S283" s="40"/>
      <c r="T283" s="11"/>
    </row>
    <row r="284" customFormat="false" ht="15.75" hidden="false" customHeight="true" outlineLevel="0" collapsed="false">
      <c r="A284" s="55"/>
      <c r="B284" s="34"/>
      <c r="C284" s="34"/>
      <c r="D284" s="34"/>
      <c r="E284" s="19"/>
      <c r="F284" s="34"/>
      <c r="G284" s="34"/>
      <c r="H284" s="34"/>
      <c r="I284" s="34"/>
      <c r="J284" s="34"/>
      <c r="K284" s="34"/>
      <c r="L284" s="34"/>
      <c r="M284" s="34"/>
      <c r="N284" s="34"/>
      <c r="O284" s="34"/>
      <c r="P284" s="34"/>
      <c r="Q284" s="34"/>
      <c r="R284" s="34"/>
      <c r="S284" s="40"/>
      <c r="T284" s="11"/>
    </row>
    <row r="285" customFormat="false" ht="15.75" hidden="false" customHeight="true" outlineLevel="0" collapsed="false">
      <c r="A285" s="55"/>
      <c r="B285" s="34"/>
      <c r="C285" s="34"/>
      <c r="D285" s="34"/>
      <c r="E285" s="19"/>
      <c r="F285" s="34"/>
      <c r="G285" s="34"/>
      <c r="H285" s="34"/>
      <c r="I285" s="34"/>
      <c r="J285" s="34"/>
      <c r="K285" s="34"/>
      <c r="L285" s="34"/>
      <c r="M285" s="34"/>
      <c r="N285" s="34"/>
      <c r="O285" s="34"/>
      <c r="P285" s="34"/>
      <c r="Q285" s="34"/>
      <c r="R285" s="34"/>
      <c r="S285" s="40"/>
      <c r="T285" s="11"/>
    </row>
    <row r="286" customFormat="false" ht="15.75" hidden="false" customHeight="true" outlineLevel="0" collapsed="false">
      <c r="A286" s="55"/>
      <c r="B286" s="34"/>
      <c r="C286" s="34"/>
      <c r="D286" s="34"/>
      <c r="E286" s="19"/>
      <c r="F286" s="34"/>
      <c r="G286" s="34"/>
      <c r="H286" s="34"/>
      <c r="I286" s="34"/>
      <c r="J286" s="34"/>
      <c r="K286" s="34"/>
      <c r="L286" s="34"/>
      <c r="M286" s="34"/>
      <c r="N286" s="34"/>
      <c r="O286" s="34"/>
      <c r="P286" s="34"/>
      <c r="Q286" s="34"/>
      <c r="R286" s="34"/>
      <c r="S286" s="40"/>
      <c r="T286" s="11"/>
    </row>
    <row r="287" customFormat="false" ht="15.75" hidden="false" customHeight="true" outlineLevel="0" collapsed="false">
      <c r="A287" s="55"/>
      <c r="B287" s="34"/>
      <c r="C287" s="34"/>
      <c r="D287" s="34"/>
      <c r="E287" s="19"/>
      <c r="F287" s="34"/>
      <c r="G287" s="34"/>
      <c r="H287" s="34"/>
      <c r="I287" s="34"/>
      <c r="J287" s="34"/>
      <c r="K287" s="34"/>
      <c r="L287" s="34"/>
      <c r="M287" s="34"/>
      <c r="N287" s="34"/>
      <c r="O287" s="34"/>
      <c r="P287" s="34"/>
      <c r="Q287" s="34"/>
      <c r="R287" s="34"/>
      <c r="S287" s="40"/>
      <c r="T287" s="11"/>
    </row>
    <row r="288" customFormat="false" ht="15.75" hidden="false" customHeight="true" outlineLevel="0" collapsed="false">
      <c r="A288" s="55"/>
      <c r="B288" s="34"/>
      <c r="C288" s="34"/>
      <c r="D288" s="34"/>
      <c r="E288" s="19"/>
      <c r="F288" s="34"/>
      <c r="G288" s="34"/>
      <c r="H288" s="34"/>
      <c r="I288" s="34"/>
      <c r="J288" s="34"/>
      <c r="K288" s="34"/>
      <c r="L288" s="34"/>
      <c r="M288" s="34"/>
      <c r="N288" s="34"/>
      <c r="O288" s="34"/>
      <c r="P288" s="34"/>
      <c r="Q288" s="34"/>
      <c r="R288" s="34"/>
      <c r="S288" s="40"/>
      <c r="T288" s="11"/>
    </row>
    <row r="289" customFormat="false" ht="15.75" hidden="false" customHeight="true" outlineLevel="0" collapsed="false">
      <c r="A289" s="55"/>
      <c r="B289" s="34"/>
      <c r="C289" s="34"/>
      <c r="D289" s="34"/>
      <c r="E289" s="19"/>
      <c r="F289" s="34"/>
      <c r="G289" s="34"/>
      <c r="H289" s="34"/>
      <c r="I289" s="34"/>
      <c r="J289" s="34"/>
      <c r="K289" s="34"/>
      <c r="L289" s="34"/>
      <c r="M289" s="34"/>
      <c r="N289" s="34"/>
      <c r="O289" s="34"/>
      <c r="P289" s="34"/>
      <c r="Q289" s="34"/>
      <c r="R289" s="34"/>
      <c r="S289" s="40"/>
      <c r="T289" s="11"/>
    </row>
    <row r="290" customFormat="false" ht="15.75" hidden="false" customHeight="true" outlineLevel="0" collapsed="false">
      <c r="A290" s="55"/>
      <c r="B290" s="34"/>
      <c r="C290" s="34"/>
      <c r="D290" s="34"/>
      <c r="E290" s="19"/>
      <c r="F290" s="34"/>
      <c r="G290" s="34"/>
      <c r="H290" s="34"/>
      <c r="I290" s="34"/>
      <c r="J290" s="34"/>
      <c r="K290" s="34"/>
      <c r="L290" s="34"/>
      <c r="M290" s="34"/>
      <c r="N290" s="34"/>
      <c r="O290" s="34"/>
      <c r="P290" s="34"/>
      <c r="Q290" s="34"/>
      <c r="R290" s="34"/>
      <c r="S290" s="40"/>
      <c r="T290" s="11"/>
    </row>
    <row r="291" customFormat="false" ht="15.75" hidden="false" customHeight="true" outlineLevel="0" collapsed="false">
      <c r="A291" s="55"/>
      <c r="B291" s="34"/>
      <c r="C291" s="34"/>
      <c r="D291" s="34"/>
      <c r="E291" s="19"/>
      <c r="F291" s="34"/>
      <c r="G291" s="34"/>
      <c r="H291" s="34"/>
      <c r="I291" s="34"/>
      <c r="J291" s="34"/>
      <c r="K291" s="34"/>
      <c r="L291" s="34"/>
      <c r="M291" s="34"/>
      <c r="N291" s="34"/>
      <c r="O291" s="34"/>
      <c r="P291" s="34"/>
      <c r="Q291" s="34"/>
      <c r="R291" s="34"/>
      <c r="S291" s="40"/>
      <c r="T291" s="11"/>
    </row>
    <row r="292" customFormat="false" ht="15.75" hidden="false" customHeight="true" outlineLevel="0" collapsed="false">
      <c r="A292" s="55"/>
      <c r="B292" s="34"/>
      <c r="C292" s="34"/>
      <c r="D292" s="34"/>
      <c r="E292" s="19"/>
      <c r="F292" s="34"/>
      <c r="G292" s="34"/>
      <c r="H292" s="34"/>
      <c r="I292" s="34"/>
      <c r="J292" s="34"/>
      <c r="K292" s="34"/>
      <c r="L292" s="34"/>
      <c r="M292" s="34"/>
      <c r="N292" s="34"/>
      <c r="O292" s="34"/>
      <c r="P292" s="34"/>
      <c r="Q292" s="34"/>
      <c r="R292" s="34"/>
      <c r="S292" s="40"/>
      <c r="T292" s="11"/>
    </row>
    <row r="293" customFormat="false" ht="15.75" hidden="false" customHeight="true" outlineLevel="0" collapsed="false">
      <c r="A293" s="55"/>
      <c r="B293" s="34"/>
      <c r="C293" s="34"/>
      <c r="D293" s="34"/>
      <c r="E293" s="19"/>
      <c r="F293" s="34"/>
      <c r="G293" s="34"/>
      <c r="H293" s="34"/>
      <c r="I293" s="34"/>
      <c r="J293" s="34"/>
      <c r="K293" s="34"/>
      <c r="L293" s="34"/>
      <c r="M293" s="34"/>
      <c r="N293" s="34"/>
      <c r="O293" s="34"/>
      <c r="P293" s="34"/>
      <c r="Q293" s="34"/>
      <c r="R293" s="34"/>
      <c r="S293" s="40"/>
      <c r="T293" s="11"/>
    </row>
    <row r="294" customFormat="false" ht="15.75" hidden="false" customHeight="true" outlineLevel="0" collapsed="false">
      <c r="A294" s="55"/>
      <c r="B294" s="34"/>
      <c r="C294" s="34"/>
      <c r="D294" s="34"/>
      <c r="E294" s="19"/>
      <c r="F294" s="34"/>
      <c r="G294" s="34"/>
      <c r="H294" s="34"/>
      <c r="I294" s="34"/>
      <c r="J294" s="34"/>
      <c r="K294" s="34"/>
      <c r="L294" s="34"/>
      <c r="M294" s="34"/>
      <c r="N294" s="34"/>
      <c r="O294" s="34"/>
      <c r="P294" s="34"/>
      <c r="Q294" s="34"/>
      <c r="R294" s="34"/>
      <c r="S294" s="40"/>
      <c r="T294" s="11"/>
    </row>
    <row r="295" customFormat="false" ht="15.75" hidden="false" customHeight="true" outlineLevel="0" collapsed="false">
      <c r="A295" s="55"/>
      <c r="B295" s="34"/>
      <c r="C295" s="34"/>
      <c r="D295" s="34"/>
      <c r="E295" s="19"/>
      <c r="F295" s="34"/>
      <c r="G295" s="34"/>
      <c r="H295" s="34"/>
      <c r="I295" s="34"/>
      <c r="J295" s="34"/>
      <c r="K295" s="34"/>
      <c r="L295" s="34"/>
      <c r="M295" s="34"/>
      <c r="N295" s="34"/>
      <c r="O295" s="34"/>
      <c r="P295" s="34"/>
      <c r="Q295" s="34"/>
      <c r="R295" s="34"/>
      <c r="S295" s="40"/>
      <c r="T295" s="11"/>
    </row>
    <row r="296" customFormat="false" ht="15.75" hidden="false" customHeight="true" outlineLevel="0" collapsed="false">
      <c r="A296" s="55"/>
      <c r="B296" s="34"/>
      <c r="C296" s="34"/>
      <c r="D296" s="34"/>
      <c r="E296" s="19"/>
      <c r="F296" s="34"/>
      <c r="G296" s="34"/>
      <c r="H296" s="34"/>
      <c r="I296" s="34"/>
      <c r="J296" s="34"/>
      <c r="K296" s="34"/>
      <c r="L296" s="34"/>
      <c r="M296" s="34"/>
      <c r="N296" s="34"/>
      <c r="O296" s="34"/>
      <c r="P296" s="34"/>
      <c r="Q296" s="34"/>
      <c r="R296" s="34"/>
      <c r="S296" s="40"/>
      <c r="T296" s="11"/>
    </row>
    <row r="297" customFormat="false" ht="15.75" hidden="false" customHeight="true" outlineLevel="0" collapsed="false">
      <c r="A297" s="55"/>
      <c r="B297" s="34"/>
      <c r="C297" s="34"/>
      <c r="D297" s="34"/>
      <c r="E297" s="19"/>
      <c r="F297" s="34"/>
      <c r="G297" s="34"/>
      <c r="H297" s="34"/>
      <c r="I297" s="34"/>
      <c r="J297" s="34"/>
      <c r="K297" s="34"/>
      <c r="L297" s="34"/>
      <c r="M297" s="34"/>
      <c r="N297" s="34"/>
      <c r="O297" s="34"/>
      <c r="P297" s="34"/>
      <c r="Q297" s="34"/>
      <c r="R297" s="34"/>
      <c r="S297" s="40"/>
      <c r="T297" s="11"/>
    </row>
    <row r="298" customFormat="false" ht="15.75" hidden="false" customHeight="true" outlineLevel="0" collapsed="false">
      <c r="A298" s="55"/>
      <c r="B298" s="34"/>
      <c r="C298" s="34"/>
      <c r="D298" s="34"/>
      <c r="E298" s="19"/>
      <c r="F298" s="34"/>
      <c r="G298" s="34"/>
      <c r="H298" s="34"/>
      <c r="I298" s="34"/>
      <c r="J298" s="34"/>
      <c r="K298" s="34"/>
      <c r="L298" s="34"/>
      <c r="M298" s="34"/>
      <c r="N298" s="34"/>
      <c r="O298" s="34"/>
      <c r="P298" s="34"/>
      <c r="Q298" s="34"/>
      <c r="R298" s="34"/>
      <c r="S298" s="40"/>
      <c r="T298" s="11"/>
    </row>
    <row r="299" customFormat="false" ht="15.75" hidden="false" customHeight="true" outlineLevel="0" collapsed="false">
      <c r="A299" s="55"/>
      <c r="B299" s="34"/>
      <c r="C299" s="34"/>
      <c r="D299" s="34"/>
      <c r="E299" s="19"/>
      <c r="F299" s="34"/>
      <c r="G299" s="34"/>
      <c r="H299" s="34"/>
      <c r="I299" s="34"/>
      <c r="J299" s="34"/>
      <c r="K299" s="34"/>
      <c r="L299" s="34"/>
      <c r="M299" s="34"/>
      <c r="N299" s="34"/>
      <c r="O299" s="34"/>
      <c r="P299" s="34"/>
      <c r="Q299" s="34"/>
      <c r="R299" s="34"/>
      <c r="S299" s="40"/>
      <c r="T299" s="11"/>
    </row>
    <row r="300" customFormat="false" ht="15.75" hidden="false" customHeight="true" outlineLevel="0" collapsed="false">
      <c r="A300" s="55"/>
      <c r="B300" s="34"/>
      <c r="C300" s="34"/>
      <c r="D300" s="34"/>
      <c r="E300" s="19"/>
      <c r="F300" s="34"/>
      <c r="G300" s="34"/>
      <c r="H300" s="34"/>
      <c r="I300" s="34"/>
      <c r="J300" s="34"/>
      <c r="K300" s="34"/>
      <c r="L300" s="34"/>
      <c r="M300" s="34"/>
      <c r="N300" s="34"/>
      <c r="O300" s="34"/>
      <c r="P300" s="34"/>
      <c r="Q300" s="34"/>
      <c r="R300" s="34"/>
      <c r="S300" s="40"/>
      <c r="T300" s="11"/>
    </row>
    <row r="301" customFormat="false" ht="15.75" hidden="false" customHeight="true" outlineLevel="0" collapsed="false">
      <c r="A301" s="55"/>
      <c r="B301" s="34"/>
      <c r="C301" s="34"/>
      <c r="D301" s="34"/>
      <c r="E301" s="19"/>
      <c r="F301" s="34"/>
      <c r="G301" s="34"/>
      <c r="H301" s="34"/>
      <c r="I301" s="34"/>
      <c r="J301" s="34"/>
      <c r="K301" s="34"/>
      <c r="L301" s="34"/>
      <c r="M301" s="34"/>
      <c r="N301" s="34"/>
      <c r="O301" s="34"/>
      <c r="P301" s="34"/>
      <c r="Q301" s="34"/>
      <c r="R301" s="34"/>
      <c r="S301" s="40"/>
      <c r="T301" s="11"/>
    </row>
    <row r="302" customFormat="false" ht="15.75" hidden="false" customHeight="true" outlineLevel="0" collapsed="false">
      <c r="A302" s="56"/>
      <c r="B302" s="57"/>
      <c r="C302" s="57"/>
      <c r="D302" s="57"/>
      <c r="E302" s="19"/>
      <c r="F302" s="57"/>
      <c r="G302" s="57"/>
      <c r="H302" s="57"/>
      <c r="I302" s="57"/>
      <c r="J302" s="57"/>
      <c r="K302" s="57"/>
      <c r="L302" s="57"/>
      <c r="M302" s="57"/>
      <c r="N302" s="57"/>
      <c r="O302" s="57"/>
      <c r="P302" s="57"/>
      <c r="Q302" s="57"/>
      <c r="R302" s="57"/>
      <c r="S302" s="58"/>
      <c r="T302" s="11"/>
    </row>
    <row r="303" customFormat="false" ht="15.75" hidden="false" customHeight="true" outlineLevel="0" collapsed="false">
      <c r="E303" s="19"/>
    </row>
    <row r="304" customFormat="false" ht="15.75" hidden="false" customHeight="true" outlineLevel="0" collapsed="false">
      <c r="E304" s="19"/>
    </row>
    <row r="305" customFormat="false" ht="15.75" hidden="false" customHeight="true" outlineLevel="0" collapsed="false">
      <c r="E305" s="19"/>
    </row>
    <row r="306" customFormat="false" ht="15.75" hidden="false" customHeight="true" outlineLevel="0" collapsed="false">
      <c r="E306" s="19"/>
    </row>
    <row r="307" customFormat="false" ht="15.75" hidden="false" customHeight="true" outlineLevel="0" collapsed="false">
      <c r="E307" s="19"/>
    </row>
    <row r="308" customFormat="false" ht="15.75" hidden="false" customHeight="true" outlineLevel="0" collapsed="false">
      <c r="E308" s="19"/>
    </row>
    <row r="309" customFormat="false" ht="15.75" hidden="false" customHeight="true" outlineLevel="0" collapsed="false">
      <c r="E309" s="19"/>
    </row>
    <row r="310" customFormat="false" ht="15.75" hidden="false" customHeight="true" outlineLevel="0" collapsed="false">
      <c r="E310" s="19"/>
    </row>
    <row r="311" customFormat="false" ht="15.75" hidden="false" customHeight="true" outlineLevel="0" collapsed="false">
      <c r="E311" s="19"/>
    </row>
    <row r="312" customFormat="false" ht="15.75" hidden="false" customHeight="true" outlineLevel="0" collapsed="false">
      <c r="E312" s="19"/>
    </row>
    <row r="313" customFormat="false" ht="15.75" hidden="false" customHeight="true" outlineLevel="0" collapsed="false">
      <c r="E313" s="19"/>
    </row>
    <row r="314" customFormat="false" ht="15.75" hidden="false" customHeight="true" outlineLevel="0" collapsed="false">
      <c r="E314" s="19"/>
    </row>
    <row r="315" customFormat="false" ht="15.75" hidden="false" customHeight="true" outlineLevel="0" collapsed="false">
      <c r="E315" s="19"/>
    </row>
    <row r="316" customFormat="false" ht="15.75" hidden="false" customHeight="true" outlineLevel="0" collapsed="false">
      <c r="E316" s="19"/>
    </row>
    <row r="317" customFormat="false" ht="15.75" hidden="false" customHeight="true" outlineLevel="0" collapsed="false">
      <c r="E317" s="19"/>
    </row>
    <row r="318" customFormat="false" ht="15.75" hidden="false" customHeight="true" outlineLevel="0" collapsed="false">
      <c r="E318" s="19"/>
    </row>
    <row r="319" customFormat="false" ht="15.75" hidden="false" customHeight="true" outlineLevel="0" collapsed="false">
      <c r="E319" s="19"/>
    </row>
    <row r="320" customFormat="false" ht="15.75" hidden="false" customHeight="true" outlineLevel="0" collapsed="false">
      <c r="E320" s="19"/>
    </row>
    <row r="321" customFormat="false" ht="15.75" hidden="false" customHeight="true" outlineLevel="0" collapsed="false">
      <c r="E321" s="19"/>
    </row>
    <row r="322" customFormat="false" ht="15.75" hidden="false" customHeight="true" outlineLevel="0" collapsed="false">
      <c r="E322" s="19"/>
    </row>
    <row r="323" customFormat="false" ht="15.75" hidden="false" customHeight="true" outlineLevel="0" collapsed="false">
      <c r="E323" s="19"/>
    </row>
    <row r="324" customFormat="false" ht="15.75" hidden="false" customHeight="true" outlineLevel="0" collapsed="false">
      <c r="E324" s="19"/>
    </row>
    <row r="325" customFormat="false" ht="15.75" hidden="false" customHeight="true" outlineLevel="0" collapsed="false">
      <c r="E325" s="19"/>
    </row>
    <row r="326" customFormat="false" ht="15.75" hidden="false" customHeight="true" outlineLevel="0" collapsed="false">
      <c r="E326" s="19"/>
    </row>
    <row r="327" customFormat="false" ht="15.75" hidden="false" customHeight="true" outlineLevel="0" collapsed="false">
      <c r="E327" s="19"/>
    </row>
    <row r="328" customFormat="false" ht="15.75" hidden="false" customHeight="true" outlineLevel="0" collapsed="false">
      <c r="E328" s="19"/>
    </row>
    <row r="329" customFormat="false" ht="15.75" hidden="false" customHeight="true" outlineLevel="0" collapsed="false">
      <c r="E329" s="19"/>
    </row>
    <row r="330" customFormat="false" ht="15.75" hidden="false" customHeight="true" outlineLevel="0" collapsed="false">
      <c r="E330" s="19"/>
    </row>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sheetData>
  <dataValidations count="1">
    <dataValidation allowBlank="true" errorStyle="stop" operator="between" showDropDown="false" showErrorMessage="true" showInputMessage="true" sqref="E5:E200 H127:H131 G184:G192 G194:G199 E201:E330" type="list">
      <formula1>Data!$C$3:$C$14</formula1>
      <formula2>0</formula2>
    </dataValidation>
  </dataValidations>
  <printOptions headings="false" gridLines="false" gridLinesSet="true" horizontalCentered="false" verticalCentered="false"/>
  <pageMargins left="0.315277777777778" right="0.315277777777778" top="0.354166666666667" bottom="0.354166666666667"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7" activeCellId="0" sqref="J17"/>
    </sheetView>
  </sheetViews>
  <sheetFormatPr defaultColWidth="11.55859375" defaultRowHeight="14.25" zeroHeight="false" outlineLevelRow="0" outlineLevelCol="0"/>
  <cols>
    <col collapsed="false" customWidth="false" hidden="false" outlineLevel="0" max="5" min="1" style="59" width="11.56"/>
    <col collapsed="false" customWidth="true" hidden="false" outlineLevel="0" max="6" min="6" style="59" width="15.56"/>
    <col collapsed="false" customWidth="false" hidden="false" outlineLevel="0" max="16384" min="7" style="59" width="11.56"/>
  </cols>
  <sheetData>
    <row r="2" customFormat="false" ht="14.25" hidden="false" customHeight="false" outlineLevel="0" collapsed="false">
      <c r="B2" s="60" t="s">
        <v>540</v>
      </c>
      <c r="C2" s="61" t="s">
        <v>541</v>
      </c>
      <c r="D2" s="60" t="s">
        <v>542</v>
      </c>
      <c r="E2" s="61" t="s">
        <v>543</v>
      </c>
      <c r="F2" s="62" t="s">
        <v>544</v>
      </c>
      <c r="G2" s="63" t="s">
        <v>545</v>
      </c>
    </row>
    <row r="3" customFormat="false" ht="14.25" hidden="false" customHeight="false" outlineLevel="0" collapsed="false">
      <c r="B3" s="60" t="s">
        <v>546</v>
      </c>
      <c r="C3" s="61" t="s">
        <v>547</v>
      </c>
      <c r="D3" s="60" t="s">
        <v>548</v>
      </c>
      <c r="E3" s="61"/>
      <c r="F3" s="64" t="s">
        <v>549</v>
      </c>
      <c r="G3" s="65" t="n">
        <v>1</v>
      </c>
    </row>
    <row r="4" customFormat="false" ht="14.25" hidden="false" customHeight="false" outlineLevel="0" collapsed="false">
      <c r="B4" s="60" t="s">
        <v>550</v>
      </c>
      <c r="C4" s="61" t="s">
        <v>551</v>
      </c>
      <c r="D4" s="60" t="s">
        <v>552</v>
      </c>
      <c r="E4" s="61" t="n">
        <v>30</v>
      </c>
      <c r="F4" s="66" t="s">
        <v>553</v>
      </c>
      <c r="G4" s="67" t="n">
        <v>563</v>
      </c>
      <c r="H4" s="68"/>
      <c r="I4" s="68"/>
      <c r="J4" s="68"/>
    </row>
    <row r="5" customFormat="false" ht="14.25" hidden="false" customHeight="false" outlineLevel="0" collapsed="false">
      <c r="B5" s="60" t="s">
        <v>9</v>
      </c>
      <c r="C5" s="61" t="s">
        <v>23</v>
      </c>
      <c r="D5" s="60" t="s">
        <v>554</v>
      </c>
      <c r="E5" s="61" t="n">
        <v>25000</v>
      </c>
      <c r="F5" s="69"/>
      <c r="G5" s="70"/>
      <c r="H5" s="68"/>
      <c r="I5" s="68"/>
      <c r="J5" s="68"/>
    </row>
    <row r="6" customFormat="false" ht="14.25" hidden="false" customHeight="false" outlineLevel="0" collapsed="false">
      <c r="B6" s="60" t="s">
        <v>555</v>
      </c>
      <c r="C6" s="61" t="s">
        <v>556</v>
      </c>
      <c r="D6" s="60" t="s">
        <v>557</v>
      </c>
      <c r="E6" s="61" t="s">
        <v>558</v>
      </c>
      <c r="F6" s="71"/>
      <c r="H6" s="68"/>
      <c r="I6" s="68"/>
      <c r="J6" s="68"/>
    </row>
    <row r="7" customFormat="false" ht="14.25" hidden="false" customHeight="false" outlineLevel="0" collapsed="false">
      <c r="B7" s="60" t="s">
        <v>559</v>
      </c>
      <c r="C7" s="61" t="s">
        <v>560</v>
      </c>
      <c r="D7" s="60" t="s">
        <v>561</v>
      </c>
      <c r="E7" s="72" t="n">
        <v>74000</v>
      </c>
      <c r="F7" s="71"/>
      <c r="H7" s="68"/>
      <c r="I7" s="68"/>
      <c r="J7" s="68"/>
    </row>
    <row r="8" customFormat="false" ht="14.25" hidden="false" customHeight="false" outlineLevel="0" collapsed="false">
      <c r="B8" s="69" t="s">
        <v>562</v>
      </c>
      <c r="C8" s="73" t="s">
        <v>563</v>
      </c>
      <c r="D8" s="69" t="s">
        <v>564</v>
      </c>
      <c r="E8" s="72" t="n">
        <f aca="false">E7*G4</f>
        <v>41662000</v>
      </c>
      <c r="F8" s="71"/>
      <c r="G8" s="70"/>
      <c r="H8" s="68"/>
      <c r="I8" s="68"/>
      <c r="J8" s="68"/>
    </row>
    <row r="9" customFormat="false" ht="17.35" hidden="false" customHeight="false" outlineLevel="0" collapsed="false">
      <c r="B9" s="74" t="s">
        <v>565</v>
      </c>
      <c r="C9" s="74" t="s">
        <v>566</v>
      </c>
      <c r="D9" s="60" t="s">
        <v>567</v>
      </c>
      <c r="E9" s="75" t="s">
        <v>554</v>
      </c>
      <c r="F9" s="74" t="s">
        <v>568</v>
      </c>
      <c r="G9" s="76"/>
      <c r="H9" s="76"/>
      <c r="I9" s="68"/>
      <c r="J9" s="68"/>
    </row>
    <row r="10" customFormat="false" ht="17.35" hidden="false" customHeight="false" outlineLevel="0" collapsed="false">
      <c r="B10" s="77" t="s">
        <v>569</v>
      </c>
      <c r="C10" s="78" t="n">
        <v>46095</v>
      </c>
      <c r="D10" s="60" t="s">
        <v>26</v>
      </c>
      <c r="E10" s="77" t="n">
        <v>7500</v>
      </c>
      <c r="F10" s="76" t="s">
        <v>566</v>
      </c>
      <c r="G10" s="78" t="n">
        <v>46099</v>
      </c>
      <c r="H10" s="78" t="n">
        <v>46100</v>
      </c>
      <c r="I10" s="78" t="n">
        <v>46101</v>
      </c>
    </row>
    <row r="11" customFormat="false" ht="17.35" hidden="false" customHeight="false" outlineLevel="0" collapsed="false">
      <c r="B11" s="77" t="s">
        <v>569</v>
      </c>
      <c r="C11" s="78" t="n">
        <v>46098</v>
      </c>
      <c r="D11" s="60" t="s">
        <v>26</v>
      </c>
      <c r="E11" s="77" t="n">
        <v>5000</v>
      </c>
      <c r="F11" s="76" t="s">
        <v>570</v>
      </c>
      <c r="G11" s="77"/>
      <c r="H11" s="77"/>
      <c r="I11" s="77"/>
      <c r="J11" s="79"/>
    </row>
    <row r="12" customFormat="false" ht="17.35" hidden="false" customHeight="false" outlineLevel="0" collapsed="false">
      <c r="B12" s="77" t="s">
        <v>569</v>
      </c>
      <c r="C12" s="78" t="n">
        <v>46100</v>
      </c>
      <c r="D12" s="60" t="s">
        <v>26</v>
      </c>
      <c r="E12" s="77" t="n">
        <v>6000</v>
      </c>
      <c r="F12" s="76" t="s">
        <v>571</v>
      </c>
      <c r="G12" s="77"/>
      <c r="H12" s="80"/>
      <c r="I12" s="68"/>
      <c r="J12" s="68"/>
    </row>
    <row r="13" customFormat="false" ht="17.35" hidden="false" customHeight="false" outlineLevel="0" collapsed="false">
      <c r="C13" s="80"/>
      <c r="D13" s="81" t="s">
        <v>572</v>
      </c>
      <c r="E13" s="81" t="n">
        <v>18500</v>
      </c>
      <c r="F13" s="68"/>
      <c r="G13" s="68"/>
      <c r="H13" s="68"/>
      <c r="I13" s="68"/>
      <c r="J13" s="68"/>
    </row>
    <row r="14" customFormat="false" ht="17.35" hidden="false" customHeight="false" outlineLevel="0" collapsed="false">
      <c r="B14" s="82" t="s">
        <v>573</v>
      </c>
      <c r="D14" s="83" t="s">
        <v>574</v>
      </c>
      <c r="E14" s="84" t="n">
        <f aca="false">E5-E13</f>
        <v>6500</v>
      </c>
      <c r="F14" s="68"/>
      <c r="G14" s="68"/>
      <c r="H14" s="68"/>
      <c r="I14" s="68"/>
      <c r="J14" s="68"/>
    </row>
    <row r="15" customFormat="false" ht="19.7" hidden="false" customHeight="false" outlineLevel="0" collapsed="false">
      <c r="B15" s="85"/>
      <c r="C15" s="85"/>
      <c r="D15" s="86" t="s">
        <v>575</v>
      </c>
      <c r="E15" s="85"/>
      <c r="F15" s="85"/>
      <c r="G15" s="87"/>
      <c r="H15" s="88"/>
      <c r="I15" s="68"/>
      <c r="J15" s="68"/>
    </row>
    <row r="16" customFormat="false" ht="19.4" hidden="false" customHeight="false" outlineLevel="0" collapsed="false">
      <c r="B16" s="89" t="s">
        <v>576</v>
      </c>
      <c r="C16" s="90" t="s">
        <v>577</v>
      </c>
      <c r="D16" s="90" t="s">
        <v>578</v>
      </c>
      <c r="E16" s="90" t="s">
        <v>579</v>
      </c>
      <c r="F16" s="90" t="s">
        <v>580</v>
      </c>
      <c r="G16" s="90" t="s">
        <v>581</v>
      </c>
      <c r="H16" s="91" t="s">
        <v>582</v>
      </c>
      <c r="I16" s="68"/>
      <c r="J16" s="68"/>
    </row>
    <row r="17" customFormat="false" ht="14.25" hidden="false" customHeight="false" outlineLevel="0" collapsed="false">
      <c r="B17" s="92" t="s">
        <v>583</v>
      </c>
      <c r="C17" s="93" t="s">
        <v>23</v>
      </c>
      <c r="D17" s="94"/>
      <c r="E17" s="94" t="s">
        <v>541</v>
      </c>
      <c r="F17" s="95"/>
      <c r="G17" s="96" t="n">
        <v>100</v>
      </c>
      <c r="H17" s="97"/>
      <c r="I17" s="68"/>
      <c r="J17" s="68"/>
    </row>
    <row r="18" customFormat="false" ht="14.25" hidden="false" customHeight="false" outlineLevel="0" collapsed="false">
      <c r="B18" s="92" t="s">
        <v>583</v>
      </c>
      <c r="C18" s="93" t="s">
        <v>23</v>
      </c>
      <c r="D18" s="98"/>
      <c r="E18" s="94" t="s">
        <v>541</v>
      </c>
      <c r="F18" s="95"/>
      <c r="G18" s="99" t="n">
        <v>200</v>
      </c>
      <c r="H18" s="100"/>
      <c r="I18" s="68"/>
      <c r="J18" s="68"/>
    </row>
    <row r="19" customFormat="false" ht="14.25" hidden="false" customHeight="false" outlineLevel="0" collapsed="false">
      <c r="B19" s="92" t="s">
        <v>583</v>
      </c>
      <c r="C19" s="93" t="s">
        <v>23</v>
      </c>
      <c r="D19" s="94"/>
      <c r="E19" s="94" t="s">
        <v>541</v>
      </c>
      <c r="F19" s="95"/>
      <c r="G19" s="96" t="n">
        <v>60</v>
      </c>
      <c r="H19" s="97"/>
      <c r="I19" s="68"/>
      <c r="J19" s="68"/>
    </row>
    <row r="20" customFormat="false" ht="14.25" hidden="false" customHeight="false" outlineLevel="0" collapsed="false">
      <c r="B20" s="92" t="s">
        <v>583</v>
      </c>
      <c r="C20" s="93" t="s">
        <v>23</v>
      </c>
      <c r="D20" s="94"/>
      <c r="E20" s="94" t="s">
        <v>541</v>
      </c>
      <c r="F20" s="95"/>
      <c r="G20" s="96" t="n">
        <v>150</v>
      </c>
      <c r="H20" s="97"/>
      <c r="I20" s="68"/>
      <c r="J20" s="68"/>
    </row>
    <row r="21" customFormat="false" ht="14.25" hidden="false" customHeight="false" outlineLevel="0" collapsed="false">
      <c r="B21" s="92" t="s">
        <v>583</v>
      </c>
      <c r="C21" s="93" t="s">
        <v>23</v>
      </c>
      <c r="D21" s="94"/>
      <c r="E21" s="94" t="s">
        <v>541</v>
      </c>
      <c r="F21" s="95"/>
      <c r="G21" s="96" t="n">
        <v>420</v>
      </c>
      <c r="H21" s="97"/>
      <c r="I21" s="68"/>
      <c r="J21" s="68"/>
    </row>
    <row r="22" customFormat="false" ht="14.25" hidden="false" customHeight="false" outlineLevel="0" collapsed="false">
      <c r="B22" s="92" t="s">
        <v>583</v>
      </c>
      <c r="C22" s="93" t="s">
        <v>23</v>
      </c>
      <c r="D22" s="94"/>
      <c r="E22" s="94" t="s">
        <v>541</v>
      </c>
      <c r="F22" s="95"/>
      <c r="G22" s="96" t="n">
        <v>300</v>
      </c>
      <c r="H22" s="97"/>
      <c r="I22" s="68"/>
      <c r="J22" s="68"/>
    </row>
    <row r="23" customFormat="false" ht="17.35" hidden="false" customHeight="false" outlineLevel="0" collapsed="false">
      <c r="B23" s="101"/>
      <c r="C23" s="102"/>
      <c r="D23" s="103"/>
      <c r="E23" s="104"/>
      <c r="F23" s="105"/>
      <c r="G23" s="106"/>
      <c r="H23" s="107"/>
      <c r="I23" s="68"/>
      <c r="J23" s="6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19" activeCellId="0" sqref="M19"/>
    </sheetView>
  </sheetViews>
  <sheetFormatPr defaultColWidth="11.55859375" defaultRowHeight="14.25" zeroHeight="false" outlineLevelRow="0" outlineLevelCol="0"/>
  <cols>
    <col collapsed="false" customWidth="false" hidden="false" outlineLevel="0" max="5" min="1" style="59" width="11.56"/>
    <col collapsed="false" customWidth="true" hidden="false" outlineLevel="0" max="6" min="6" style="59" width="15.56"/>
    <col collapsed="false" customWidth="false" hidden="false" outlineLevel="0" max="16384" min="7" style="59" width="11.56"/>
  </cols>
  <sheetData>
    <row r="2" customFormat="false" ht="14.25" hidden="false" customHeight="false" outlineLevel="0" collapsed="false">
      <c r="B2" s="60" t="s">
        <v>540</v>
      </c>
      <c r="C2" s="61" t="s">
        <v>541</v>
      </c>
      <c r="D2" s="60" t="s">
        <v>542</v>
      </c>
      <c r="E2" s="61" t="s">
        <v>543</v>
      </c>
      <c r="F2" s="62" t="s">
        <v>544</v>
      </c>
      <c r="G2" s="63" t="s">
        <v>545</v>
      </c>
    </row>
    <row r="3" customFormat="false" ht="14.25" hidden="false" customHeight="false" outlineLevel="0" collapsed="false">
      <c r="B3" s="60" t="s">
        <v>546</v>
      </c>
      <c r="C3" s="61" t="s">
        <v>547</v>
      </c>
      <c r="D3" s="60" t="s">
        <v>548</v>
      </c>
      <c r="E3" s="61"/>
      <c r="F3" s="64" t="s">
        <v>549</v>
      </c>
      <c r="G3" s="65" t="n">
        <v>1</v>
      </c>
    </row>
    <row r="4" customFormat="false" ht="14.25" hidden="false" customHeight="false" outlineLevel="0" collapsed="false">
      <c r="B4" s="60" t="s">
        <v>550</v>
      </c>
      <c r="C4" s="61" t="s">
        <v>551</v>
      </c>
      <c r="D4" s="60" t="s">
        <v>552</v>
      </c>
      <c r="E4" s="61" t="n">
        <v>30</v>
      </c>
      <c r="F4" s="66" t="s">
        <v>553</v>
      </c>
      <c r="G4" s="67" t="n">
        <v>563</v>
      </c>
      <c r="H4" s="68"/>
      <c r="I4" s="68"/>
      <c r="J4" s="68"/>
    </row>
    <row r="5" customFormat="false" ht="14.25" hidden="false" customHeight="false" outlineLevel="0" collapsed="false">
      <c r="B5" s="60" t="s">
        <v>9</v>
      </c>
      <c r="C5" s="61"/>
      <c r="D5" s="60" t="s">
        <v>554</v>
      </c>
      <c r="E5" s="61" t="n">
        <v>25000</v>
      </c>
      <c r="F5" s="69"/>
      <c r="G5" s="70"/>
      <c r="H5" s="68"/>
      <c r="I5" s="68"/>
      <c r="J5" s="68"/>
    </row>
    <row r="6" customFormat="false" ht="14.25" hidden="false" customHeight="false" outlineLevel="0" collapsed="false">
      <c r="B6" s="60" t="s">
        <v>555</v>
      </c>
      <c r="C6" s="61" t="s">
        <v>556</v>
      </c>
      <c r="D6" s="60" t="s">
        <v>557</v>
      </c>
      <c r="E6" s="61" t="s">
        <v>558</v>
      </c>
      <c r="F6" s="71"/>
      <c r="H6" s="68"/>
      <c r="I6" s="68"/>
      <c r="J6" s="68"/>
    </row>
    <row r="7" customFormat="false" ht="14.25" hidden="false" customHeight="false" outlineLevel="0" collapsed="false">
      <c r="B7" s="60" t="s">
        <v>559</v>
      </c>
      <c r="C7" s="61" t="s">
        <v>560</v>
      </c>
      <c r="D7" s="60" t="s">
        <v>561</v>
      </c>
      <c r="E7" s="72" t="n">
        <v>74000</v>
      </c>
      <c r="F7" s="71"/>
      <c r="H7" s="68"/>
      <c r="I7" s="68"/>
      <c r="J7" s="68"/>
    </row>
    <row r="8" customFormat="false" ht="14.25" hidden="false" customHeight="false" outlineLevel="0" collapsed="false">
      <c r="B8" s="69" t="s">
        <v>562</v>
      </c>
      <c r="C8" s="73" t="s">
        <v>563</v>
      </c>
      <c r="D8" s="69" t="s">
        <v>564</v>
      </c>
      <c r="E8" s="72" t="n">
        <f aca="false">E7*G4</f>
        <v>41662000</v>
      </c>
      <c r="F8" s="71"/>
      <c r="G8" s="70"/>
      <c r="H8" s="68"/>
      <c r="I8" s="68"/>
      <c r="J8" s="68"/>
    </row>
    <row r="9" customFormat="false" ht="17.35" hidden="false" customHeight="false" outlineLevel="0" collapsed="false">
      <c r="B9" s="74" t="s">
        <v>565</v>
      </c>
      <c r="C9" s="74" t="s">
        <v>566</v>
      </c>
      <c r="D9" s="60" t="s">
        <v>567</v>
      </c>
      <c r="E9" s="75" t="s">
        <v>554</v>
      </c>
      <c r="F9" s="74" t="s">
        <v>568</v>
      </c>
      <c r="G9" s="76"/>
      <c r="H9" s="76"/>
      <c r="I9" s="68"/>
      <c r="J9" s="68"/>
    </row>
    <row r="10" customFormat="false" ht="17.35" hidden="false" customHeight="false" outlineLevel="0" collapsed="false">
      <c r="B10" s="77" t="s">
        <v>569</v>
      </c>
      <c r="C10" s="78" t="n">
        <v>46095</v>
      </c>
      <c r="D10" s="60" t="s">
        <v>26</v>
      </c>
      <c r="E10" s="77" t="n">
        <v>7500</v>
      </c>
      <c r="F10" s="76" t="s">
        <v>566</v>
      </c>
      <c r="G10" s="78" t="n">
        <v>46099</v>
      </c>
      <c r="H10" s="78" t="n">
        <v>46100</v>
      </c>
      <c r="I10" s="78" t="n">
        <v>46101</v>
      </c>
    </row>
    <row r="11" customFormat="false" ht="17.35" hidden="false" customHeight="false" outlineLevel="0" collapsed="false">
      <c r="B11" s="77" t="s">
        <v>569</v>
      </c>
      <c r="C11" s="78" t="n">
        <v>46098</v>
      </c>
      <c r="D11" s="60" t="s">
        <v>26</v>
      </c>
      <c r="E11" s="77" t="n">
        <v>5000</v>
      </c>
      <c r="F11" s="76" t="s">
        <v>570</v>
      </c>
      <c r="G11" s="77" t="n">
        <v>7675</v>
      </c>
      <c r="H11" s="77" t="n">
        <v>10461.9</v>
      </c>
      <c r="I11" s="77" t="n">
        <v>13022</v>
      </c>
      <c r="J11" s="79" t="n">
        <v>-4461.9</v>
      </c>
    </row>
    <row r="12" customFormat="false" ht="17.35" hidden="false" customHeight="false" outlineLevel="0" collapsed="false">
      <c r="B12" s="77" t="s">
        <v>569</v>
      </c>
      <c r="C12" s="78" t="n">
        <v>46100</v>
      </c>
      <c r="D12" s="60" t="s">
        <v>26</v>
      </c>
      <c r="E12" s="77" t="n">
        <v>6000</v>
      </c>
      <c r="F12" s="76" t="s">
        <v>584</v>
      </c>
      <c r="G12" s="77" t="n">
        <v>153504</v>
      </c>
      <c r="H12" s="80" t="n">
        <v>10270</v>
      </c>
      <c r="I12" s="68"/>
      <c r="J12" s="68"/>
    </row>
    <row r="13" customFormat="false" ht="17.35" hidden="false" customHeight="false" outlineLevel="0" collapsed="false">
      <c r="C13" s="80"/>
      <c r="D13" s="81" t="s">
        <v>572</v>
      </c>
      <c r="E13" s="81" t="n">
        <v>18500</v>
      </c>
      <c r="F13" s="68"/>
      <c r="G13" s="68"/>
      <c r="H13" s="68"/>
      <c r="I13" s="68"/>
      <c r="J13" s="68"/>
    </row>
    <row r="14" customFormat="false" ht="17.35" hidden="false" customHeight="false" outlineLevel="0" collapsed="false">
      <c r="B14" s="82" t="s">
        <v>573</v>
      </c>
      <c r="D14" s="83" t="s">
        <v>574</v>
      </c>
      <c r="E14" s="84" t="n">
        <f aca="false">E5-E13</f>
        <v>6500</v>
      </c>
      <c r="F14" s="68"/>
      <c r="G14" s="68"/>
      <c r="H14" s="68"/>
      <c r="I14" s="68"/>
      <c r="J14" s="68"/>
    </row>
    <row r="15" customFormat="false" ht="19.7" hidden="false" customHeight="false" outlineLevel="0" collapsed="false">
      <c r="B15" s="85"/>
      <c r="C15" s="85"/>
      <c r="D15" s="86" t="s">
        <v>575</v>
      </c>
      <c r="E15" s="85"/>
      <c r="F15" s="85"/>
      <c r="G15" s="87"/>
      <c r="H15" s="88"/>
      <c r="I15" s="68"/>
      <c r="J15" s="68"/>
    </row>
    <row r="16" customFormat="false" ht="19.4" hidden="false" customHeight="false" outlineLevel="0" collapsed="false">
      <c r="B16" s="89" t="s">
        <v>576</v>
      </c>
      <c r="C16" s="90" t="s">
        <v>577</v>
      </c>
      <c r="D16" s="90" t="s">
        <v>578</v>
      </c>
      <c r="E16" s="90" t="s">
        <v>579</v>
      </c>
      <c r="F16" s="90" t="s">
        <v>580</v>
      </c>
      <c r="G16" s="90" t="s">
        <v>581</v>
      </c>
      <c r="H16" s="91" t="s">
        <v>582</v>
      </c>
      <c r="I16" s="68"/>
      <c r="J16" s="68"/>
    </row>
    <row r="17" customFormat="false" ht="19.4" hidden="false" customHeight="false" outlineLevel="0" collapsed="false">
      <c r="B17" s="92" t="s">
        <v>583</v>
      </c>
      <c r="C17" s="93" t="s">
        <v>23</v>
      </c>
      <c r="D17" s="94"/>
      <c r="E17" s="94" t="s">
        <v>541</v>
      </c>
      <c r="F17" s="95" t="n">
        <v>500</v>
      </c>
      <c r="G17" s="96" t="n">
        <v>100</v>
      </c>
      <c r="H17" s="97" t="s">
        <v>585</v>
      </c>
      <c r="I17" s="68"/>
      <c r="J17" s="68"/>
    </row>
    <row r="18" customFormat="false" ht="14.25" hidden="false" customHeight="false" outlineLevel="0" collapsed="false">
      <c r="B18" s="92" t="s">
        <v>583</v>
      </c>
      <c r="C18" s="93" t="s">
        <v>23</v>
      </c>
      <c r="D18" s="98"/>
      <c r="E18" s="94" t="s">
        <v>541</v>
      </c>
      <c r="F18" s="95" t="n">
        <v>1534000</v>
      </c>
      <c r="G18" s="99" t="n">
        <v>200</v>
      </c>
      <c r="H18" s="100" t="s">
        <v>586</v>
      </c>
      <c r="I18" s="68"/>
      <c r="J18" s="68"/>
    </row>
    <row r="19" customFormat="false" ht="14.25" hidden="false" customHeight="false" outlineLevel="0" collapsed="false">
      <c r="B19" s="92" t="s">
        <v>583</v>
      </c>
      <c r="C19" s="93" t="s">
        <v>23</v>
      </c>
      <c r="D19" s="94"/>
      <c r="E19" s="94" t="s">
        <v>541</v>
      </c>
      <c r="F19" s="95" t="n">
        <v>428000</v>
      </c>
      <c r="G19" s="96" t="n">
        <v>60</v>
      </c>
      <c r="H19" s="97"/>
      <c r="I19" s="68"/>
      <c r="J19" s="68"/>
    </row>
    <row r="20" customFormat="false" ht="14.25" hidden="false" customHeight="false" outlineLevel="0" collapsed="false">
      <c r="B20" s="92" t="s">
        <v>583</v>
      </c>
      <c r="C20" s="93" t="s">
        <v>23</v>
      </c>
      <c r="D20" s="94"/>
      <c r="E20" s="94" t="s">
        <v>541</v>
      </c>
      <c r="F20" s="95" t="n">
        <v>950000</v>
      </c>
      <c r="G20" s="96" t="n">
        <v>150</v>
      </c>
      <c r="H20" s="97"/>
      <c r="I20" s="68"/>
      <c r="J20" s="68"/>
    </row>
    <row r="21" customFormat="false" ht="14.25" hidden="false" customHeight="false" outlineLevel="0" collapsed="false">
      <c r="B21" s="92" t="s">
        <v>583</v>
      </c>
      <c r="C21" s="93" t="s">
        <v>23</v>
      </c>
      <c r="D21" s="94"/>
      <c r="E21" s="94" t="s">
        <v>541</v>
      </c>
      <c r="F21" s="95" t="n">
        <v>790000</v>
      </c>
      <c r="G21" s="96" t="n">
        <v>420</v>
      </c>
      <c r="H21" s="97"/>
      <c r="I21" s="68"/>
      <c r="J21" s="68"/>
    </row>
    <row r="22" customFormat="false" ht="14.25" hidden="false" customHeight="false" outlineLevel="0" collapsed="false">
      <c r="B22" s="92" t="s">
        <v>583</v>
      </c>
      <c r="C22" s="93" t="s">
        <v>23</v>
      </c>
      <c r="D22" s="94"/>
      <c r="E22" s="94" t="s">
        <v>541</v>
      </c>
      <c r="F22" s="95" t="n">
        <v>790000</v>
      </c>
      <c r="G22" s="96" t="n">
        <v>300</v>
      </c>
      <c r="H22" s="97"/>
      <c r="I22" s="68"/>
      <c r="J22" s="68"/>
    </row>
    <row r="23" customFormat="false" ht="17.35" hidden="false" customHeight="false" outlineLevel="0" collapsed="false">
      <c r="B23" s="101"/>
      <c r="C23" s="102"/>
      <c r="D23" s="103"/>
      <c r="E23" s="104"/>
      <c r="F23" s="105"/>
      <c r="G23" s="106"/>
      <c r="H23" s="107"/>
      <c r="I23" s="68"/>
      <c r="J23" s="6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188" activePane="bottomRight" state="frozen"/>
      <selection pane="topLeft" activeCell="A1" activeCellId="0" sqref="A1"/>
      <selection pane="topRight" activeCell="B1" activeCellId="0" sqref="B1"/>
      <selection pane="bottomLeft" activeCell="A188" activeCellId="0" sqref="A188"/>
      <selection pane="bottomRight" activeCell="I203" activeCellId="0" sqref="I203"/>
    </sheetView>
  </sheetViews>
  <sheetFormatPr defaultColWidth="11.55859375" defaultRowHeight="14.25" zeroHeight="false" outlineLevelRow="0" outlineLevelCol="0"/>
  <cols>
    <col collapsed="false" customWidth="true" hidden="false" outlineLevel="0" max="1" min="1" style="108" width="3.78"/>
    <col collapsed="false" customWidth="true" hidden="false" outlineLevel="0" max="2" min="2" style="109" width="34.89"/>
    <col collapsed="false" customWidth="true" hidden="false" outlineLevel="0" max="3" min="3" style="109" width="9.56"/>
    <col collapsed="false" customWidth="true" hidden="false" outlineLevel="0" max="4" min="4" style="109" width="15.66"/>
    <col collapsed="false" customWidth="false" hidden="false" outlineLevel="0" max="6" min="5" style="109" width="11.56"/>
    <col collapsed="false" customWidth="true" hidden="false" outlineLevel="0" max="7" min="7" style="109" width="11"/>
    <col collapsed="false" customWidth="true" hidden="false" outlineLevel="0" max="8" min="8" style="109" width="12"/>
    <col collapsed="false" customWidth="true" hidden="false" outlineLevel="0" max="9" min="9" style="109" width="28.22"/>
    <col collapsed="false" customWidth="true" hidden="false" outlineLevel="0" max="10" min="10" style="109" width="8.44"/>
    <col collapsed="false" customWidth="true" hidden="false" outlineLevel="0" max="11" min="11" style="109" width="18.89"/>
    <col collapsed="false" customWidth="true" hidden="false" outlineLevel="0" max="12" min="12" style="109" width="17.89"/>
    <col collapsed="false" customWidth="true" hidden="false" outlineLevel="0" max="13" min="13" style="109" width="19.11"/>
    <col collapsed="false" customWidth="true" hidden="false" outlineLevel="0" max="14" min="14" style="109" width="18.22"/>
    <col collapsed="false" customWidth="true" hidden="false" outlineLevel="0" max="15" min="15" style="110" width="10.11"/>
    <col collapsed="false" customWidth="false" hidden="false" outlineLevel="0" max="16384" min="16" style="111" width="11.56"/>
  </cols>
  <sheetData>
    <row r="1" s="111" customFormat="true" ht="17.9" hidden="false" customHeight="true" outlineLevel="0" collapsed="false">
      <c r="B1" s="112"/>
      <c r="C1" s="112"/>
      <c r="D1" s="112"/>
      <c r="E1" s="112"/>
      <c r="F1" s="112"/>
      <c r="G1" s="112"/>
      <c r="H1" s="112"/>
      <c r="I1" s="112" t="s">
        <v>587</v>
      </c>
      <c r="J1" s="112"/>
      <c r="K1" s="112"/>
      <c r="L1" s="112"/>
      <c r="M1" s="112"/>
      <c r="N1" s="112"/>
      <c r="O1" s="112"/>
    </row>
    <row r="2" s="111" customFormat="true" ht="14.25" hidden="false" customHeight="false" outlineLevel="0" collapsed="false"/>
    <row r="3" customFormat="false" ht="29.85" hidden="false" customHeight="false" outlineLevel="0" collapsed="false">
      <c r="A3" s="113" t="s">
        <v>588</v>
      </c>
      <c r="B3" s="114" t="s">
        <v>589</v>
      </c>
      <c r="C3" s="115" t="s">
        <v>590</v>
      </c>
      <c r="D3" s="114" t="s">
        <v>591</v>
      </c>
      <c r="E3" s="114" t="s">
        <v>592</v>
      </c>
      <c r="F3" s="114" t="s">
        <v>593</v>
      </c>
      <c r="G3" s="114" t="s">
        <v>594</v>
      </c>
      <c r="H3" s="114" t="s">
        <v>595</v>
      </c>
      <c r="I3" s="114" t="s">
        <v>596</v>
      </c>
      <c r="J3" s="114" t="s">
        <v>597</v>
      </c>
      <c r="K3" s="114" t="s">
        <v>598</v>
      </c>
      <c r="L3" s="114" t="s">
        <v>599</v>
      </c>
      <c r="M3" s="114" t="s">
        <v>600</v>
      </c>
      <c r="N3" s="114" t="s">
        <v>601</v>
      </c>
      <c r="O3" s="116" t="s">
        <v>602</v>
      </c>
    </row>
    <row r="4" customFormat="false" ht="14.25" hidden="false" customHeight="false" outlineLevel="0" collapsed="false">
      <c r="A4" s="117" t="n">
        <v>4</v>
      </c>
      <c r="B4" s="118" t="s">
        <v>603</v>
      </c>
      <c r="C4" s="118"/>
      <c r="D4" s="118" t="s">
        <v>604</v>
      </c>
      <c r="E4" s="118" t="s">
        <v>605</v>
      </c>
      <c r="F4" s="118" t="s">
        <v>606</v>
      </c>
      <c r="G4" s="118" t="n">
        <v>683661743</v>
      </c>
      <c r="H4" s="118"/>
      <c r="I4" s="119" t="s">
        <v>607</v>
      </c>
      <c r="J4" s="119"/>
      <c r="K4" s="118" t="s">
        <v>608</v>
      </c>
      <c r="L4" s="118" t="s">
        <v>609</v>
      </c>
      <c r="M4" s="118" t="s">
        <v>610</v>
      </c>
      <c r="N4" s="118"/>
      <c r="O4" s="120"/>
    </row>
    <row r="5" customFormat="false" ht="14.25" hidden="false" customHeight="false" outlineLevel="0" collapsed="false">
      <c r="A5" s="108" t="n">
        <v>5</v>
      </c>
      <c r="B5" s="109" t="s">
        <v>611</v>
      </c>
      <c r="D5" s="109" t="s">
        <v>604</v>
      </c>
      <c r="E5" s="109" t="s">
        <v>612</v>
      </c>
      <c r="F5" s="109" t="s">
        <v>613</v>
      </c>
      <c r="G5" s="109" t="n">
        <v>650106618</v>
      </c>
      <c r="H5" s="109" t="n">
        <v>693481899</v>
      </c>
      <c r="I5" s="121" t="s">
        <v>614</v>
      </c>
      <c r="J5" s="121"/>
      <c r="K5" s="109" t="s">
        <v>615</v>
      </c>
      <c r="L5" s="109" t="s">
        <v>610</v>
      </c>
      <c r="M5" s="109" t="s">
        <v>616</v>
      </c>
    </row>
    <row r="6" customFormat="false" ht="14.25" hidden="false" customHeight="false" outlineLevel="0" collapsed="false">
      <c r="A6" s="108" t="n">
        <v>6</v>
      </c>
      <c r="B6" s="109" t="s">
        <v>617</v>
      </c>
      <c r="D6" s="109" t="s">
        <v>604</v>
      </c>
      <c r="E6" s="109" t="s">
        <v>605</v>
      </c>
      <c r="F6" s="109" t="s">
        <v>618</v>
      </c>
      <c r="G6" s="109" t="n">
        <v>695342265</v>
      </c>
      <c r="I6" s="121" t="s">
        <v>619</v>
      </c>
      <c r="J6" s="121"/>
      <c r="K6" s="109" t="s">
        <v>615</v>
      </c>
      <c r="L6" s="109" t="s">
        <v>610</v>
      </c>
      <c r="M6" s="109" t="s">
        <v>620</v>
      </c>
    </row>
    <row r="7" customFormat="false" ht="14.25" hidden="false" customHeight="false" outlineLevel="0" collapsed="false">
      <c r="A7" s="108" t="n">
        <v>7</v>
      </c>
      <c r="B7" s="109" t="s">
        <v>145</v>
      </c>
      <c r="D7" s="109" t="s">
        <v>604</v>
      </c>
      <c r="E7" s="109" t="s">
        <v>621</v>
      </c>
      <c r="F7" s="109" t="s">
        <v>622</v>
      </c>
      <c r="G7" s="109" t="n">
        <v>657808080</v>
      </c>
      <c r="H7" s="109" t="n">
        <v>657303030</v>
      </c>
      <c r="I7" s="121" t="s">
        <v>623</v>
      </c>
      <c r="J7" s="121"/>
      <c r="K7" s="109" t="s">
        <v>608</v>
      </c>
      <c r="L7" s="109" t="s">
        <v>624</v>
      </c>
    </row>
    <row r="8" customFormat="false" ht="14.25" hidden="false" customHeight="false" outlineLevel="0" collapsed="false">
      <c r="A8" s="108" t="n">
        <v>8</v>
      </c>
      <c r="B8" s="109" t="s">
        <v>625</v>
      </c>
      <c r="D8" s="109" t="s">
        <v>604</v>
      </c>
      <c r="E8" s="109" t="s">
        <v>626</v>
      </c>
      <c r="G8" s="109" t="n">
        <v>677332219</v>
      </c>
      <c r="H8" s="109" t="n">
        <v>694310866</v>
      </c>
      <c r="I8" s="121" t="s">
        <v>627</v>
      </c>
      <c r="J8" s="121"/>
      <c r="K8" s="109" t="s">
        <v>628</v>
      </c>
      <c r="L8" s="109" t="s">
        <v>629</v>
      </c>
      <c r="M8" s="109" t="s">
        <v>435</v>
      </c>
    </row>
    <row r="9" customFormat="false" ht="14.25" hidden="false" customHeight="false" outlineLevel="0" collapsed="false">
      <c r="A9" s="108" t="n">
        <v>9</v>
      </c>
      <c r="B9" s="109" t="s">
        <v>630</v>
      </c>
      <c r="D9" s="109" t="s">
        <v>604</v>
      </c>
      <c r="E9" s="109" t="s">
        <v>626</v>
      </c>
      <c r="G9" s="109" t="n">
        <v>677514158</v>
      </c>
      <c r="H9" s="109" t="n">
        <v>696620929</v>
      </c>
      <c r="I9" s="121" t="s">
        <v>631</v>
      </c>
      <c r="J9" s="121"/>
      <c r="K9" s="109" t="s">
        <v>628</v>
      </c>
      <c r="L9" s="109" t="s">
        <v>629</v>
      </c>
      <c r="M9" s="109" t="s">
        <v>435</v>
      </c>
    </row>
    <row r="10" customFormat="false" ht="14.25" hidden="false" customHeight="false" outlineLevel="0" collapsed="false">
      <c r="A10" s="108" t="n">
        <v>10</v>
      </c>
      <c r="B10" s="109" t="s">
        <v>632</v>
      </c>
      <c r="D10" s="109" t="s">
        <v>604</v>
      </c>
      <c r="E10" s="109" t="s">
        <v>605</v>
      </c>
      <c r="G10" s="109" t="n">
        <v>673665682</v>
      </c>
      <c r="H10" s="109" t="n">
        <v>699049434</v>
      </c>
      <c r="I10" s="121" t="s">
        <v>633</v>
      </c>
      <c r="J10" s="121"/>
      <c r="K10" s="109" t="s">
        <v>628</v>
      </c>
      <c r="L10" s="109" t="s">
        <v>629</v>
      </c>
      <c r="M10" s="109" t="s">
        <v>435</v>
      </c>
    </row>
    <row r="11" customFormat="false" ht="14.25" hidden="false" customHeight="false" outlineLevel="0" collapsed="false">
      <c r="A11" s="108" t="n">
        <v>11</v>
      </c>
      <c r="B11" s="109" t="s">
        <v>634</v>
      </c>
      <c r="D11" s="109" t="s">
        <v>604</v>
      </c>
      <c r="E11" s="109" t="s">
        <v>605</v>
      </c>
      <c r="G11" s="109" t="n">
        <v>699555133</v>
      </c>
      <c r="H11" s="109" t="n">
        <v>673105487</v>
      </c>
      <c r="I11" s="121" t="s">
        <v>635</v>
      </c>
      <c r="J11" s="121"/>
      <c r="K11" s="109" t="s">
        <v>636</v>
      </c>
      <c r="L11" s="109" t="s">
        <v>637</v>
      </c>
    </row>
    <row r="12" customFormat="false" ht="14.25" hidden="false" customHeight="false" outlineLevel="0" collapsed="false">
      <c r="A12" s="108" t="n">
        <v>12</v>
      </c>
      <c r="B12" s="109" t="s">
        <v>638</v>
      </c>
      <c r="D12" s="109" t="s">
        <v>604</v>
      </c>
      <c r="E12" s="109" t="s">
        <v>605</v>
      </c>
      <c r="G12" s="109" t="n">
        <v>675192730</v>
      </c>
      <c r="H12" s="109" t="n">
        <v>696534109</v>
      </c>
      <c r="I12" s="121" t="s">
        <v>639</v>
      </c>
      <c r="J12" s="121"/>
      <c r="K12" s="109" t="s">
        <v>640</v>
      </c>
    </row>
    <row r="13" customFormat="false" ht="14.25" hidden="false" customHeight="false" outlineLevel="0" collapsed="false">
      <c r="A13" s="108" t="n">
        <v>13</v>
      </c>
      <c r="B13" s="109" t="s">
        <v>641</v>
      </c>
      <c r="D13" s="109" t="s">
        <v>604</v>
      </c>
      <c r="E13" s="109" t="s">
        <v>605</v>
      </c>
      <c r="G13" s="109" t="n">
        <v>675182730</v>
      </c>
      <c r="H13" s="109" t="n">
        <v>696534109</v>
      </c>
      <c r="I13" s="121" t="s">
        <v>642</v>
      </c>
      <c r="J13" s="121"/>
      <c r="K13" s="109" t="s">
        <v>640</v>
      </c>
    </row>
    <row r="14" customFormat="false" ht="14.25" hidden="false" customHeight="false" outlineLevel="0" collapsed="false">
      <c r="A14" s="108" t="n">
        <v>14</v>
      </c>
      <c r="B14" s="109" t="s">
        <v>643</v>
      </c>
      <c r="C14" s="109" t="s">
        <v>644</v>
      </c>
      <c r="D14" s="109" t="s">
        <v>604</v>
      </c>
      <c r="E14" s="109" t="s">
        <v>605</v>
      </c>
      <c r="G14" s="109" t="n">
        <v>674871805</v>
      </c>
      <c r="H14" s="109" t="n">
        <v>698350224</v>
      </c>
      <c r="I14" s="121" t="s">
        <v>645</v>
      </c>
      <c r="K14" s="109" t="s">
        <v>636</v>
      </c>
      <c r="L14" s="109" t="s">
        <v>646</v>
      </c>
    </row>
    <row r="15" customFormat="false" ht="14.25" hidden="false" customHeight="false" outlineLevel="0" collapsed="false">
      <c r="A15" s="108" t="n">
        <v>15</v>
      </c>
      <c r="B15" s="109" t="s">
        <v>647</v>
      </c>
      <c r="C15" s="109" t="s">
        <v>644</v>
      </c>
      <c r="D15" s="109" t="s">
        <v>604</v>
      </c>
      <c r="E15" s="109" t="s">
        <v>605</v>
      </c>
      <c r="G15" s="109" t="n">
        <v>675864492</v>
      </c>
      <c r="H15" s="109" t="n">
        <v>699149031</v>
      </c>
      <c r="I15" s="109" t="s">
        <v>648</v>
      </c>
      <c r="K15" s="109" t="s">
        <v>636</v>
      </c>
      <c r="L15" s="109" t="s">
        <v>646</v>
      </c>
    </row>
    <row r="16" customFormat="false" ht="14.25" hidden="false" customHeight="false" outlineLevel="0" collapsed="false">
      <c r="A16" s="108" t="n">
        <v>16</v>
      </c>
      <c r="B16" s="109" t="s">
        <v>649</v>
      </c>
      <c r="D16" s="109" t="s">
        <v>604</v>
      </c>
      <c r="E16" s="109" t="s">
        <v>605</v>
      </c>
      <c r="G16" s="109" t="n">
        <v>653749851</v>
      </c>
      <c r="H16" s="109" t="n">
        <v>691280628</v>
      </c>
      <c r="I16" s="121" t="s">
        <v>650</v>
      </c>
      <c r="J16" s="121"/>
      <c r="K16" s="109" t="s">
        <v>615</v>
      </c>
      <c r="L16" s="109" t="s">
        <v>624</v>
      </c>
      <c r="M16" s="109" t="s">
        <v>620</v>
      </c>
    </row>
    <row r="17" customFormat="false" ht="14.25" hidden="false" customHeight="false" outlineLevel="0" collapsed="false">
      <c r="A17" s="108" t="n">
        <v>17</v>
      </c>
      <c r="B17" s="109" t="s">
        <v>651</v>
      </c>
      <c r="D17" s="109" t="s">
        <v>604</v>
      </c>
      <c r="E17" s="109" t="s">
        <v>652</v>
      </c>
      <c r="G17" s="109" t="n">
        <v>680535858</v>
      </c>
      <c r="H17" s="109" t="n">
        <v>680535929</v>
      </c>
      <c r="I17" s="109" t="s">
        <v>653</v>
      </c>
      <c r="K17" s="109" t="s">
        <v>654</v>
      </c>
      <c r="L17" s="109" t="s">
        <v>655</v>
      </c>
      <c r="M17" s="109" t="s">
        <v>656</v>
      </c>
    </row>
    <row r="18" customFormat="false" ht="14.25" hidden="false" customHeight="false" outlineLevel="0" collapsed="false">
      <c r="A18" s="108" t="n">
        <v>31</v>
      </c>
      <c r="B18" s="109" t="s">
        <v>26</v>
      </c>
      <c r="D18" s="109" t="s">
        <v>604</v>
      </c>
    </row>
    <row r="19" customFormat="false" ht="14.25" hidden="false" customHeight="false" outlineLevel="0" collapsed="false">
      <c r="A19" s="108" t="n">
        <v>34</v>
      </c>
      <c r="B19" s="109" t="s">
        <v>39</v>
      </c>
      <c r="D19" s="109" t="s">
        <v>604</v>
      </c>
    </row>
    <row r="20" customFormat="false" ht="14.25" hidden="false" customHeight="false" outlineLevel="0" collapsed="false">
      <c r="A20" s="108" t="n">
        <v>35</v>
      </c>
      <c r="B20" s="109" t="s">
        <v>41</v>
      </c>
      <c r="D20" s="109" t="s">
        <v>604</v>
      </c>
    </row>
    <row r="21" customFormat="false" ht="14.25" hidden="false" customHeight="false" outlineLevel="0" collapsed="false">
      <c r="A21" s="108" t="n">
        <v>36</v>
      </c>
      <c r="B21" s="109" t="s">
        <v>45</v>
      </c>
      <c r="D21" s="109" t="s">
        <v>604</v>
      </c>
    </row>
    <row r="22" customFormat="false" ht="14.25" hidden="false" customHeight="false" outlineLevel="0" collapsed="false">
      <c r="A22" s="108" t="n">
        <v>38</v>
      </c>
      <c r="B22" s="109" t="s">
        <v>50</v>
      </c>
    </row>
    <row r="23" customFormat="false" ht="14.25" hidden="false" customHeight="false" outlineLevel="0" collapsed="false">
      <c r="A23" s="108" t="n">
        <v>40</v>
      </c>
      <c r="B23" s="109" t="s">
        <v>361</v>
      </c>
      <c r="D23" s="109" t="s">
        <v>547</v>
      </c>
    </row>
    <row r="24" customFormat="false" ht="14.25" hidden="false" customHeight="false" outlineLevel="0" collapsed="false">
      <c r="A24" s="108" t="n">
        <v>41</v>
      </c>
      <c r="B24" s="109" t="s">
        <v>363</v>
      </c>
      <c r="D24" s="109" t="s">
        <v>547</v>
      </c>
    </row>
    <row r="25" customFormat="false" ht="14.25" hidden="false" customHeight="false" outlineLevel="0" collapsed="false">
      <c r="A25" s="108" t="n">
        <v>42</v>
      </c>
      <c r="B25" s="109" t="s">
        <v>367</v>
      </c>
      <c r="D25" s="109" t="s">
        <v>547</v>
      </c>
    </row>
    <row r="26" customFormat="false" ht="14.25" hidden="false" customHeight="false" outlineLevel="0" collapsed="false">
      <c r="A26" s="108" t="n">
        <v>43</v>
      </c>
      <c r="B26" s="109" t="s">
        <v>371</v>
      </c>
      <c r="D26" s="109" t="s">
        <v>547</v>
      </c>
    </row>
    <row r="27" customFormat="false" ht="14.25" hidden="false" customHeight="false" outlineLevel="0" collapsed="false">
      <c r="A27" s="108" t="n">
        <v>44</v>
      </c>
      <c r="B27" s="109" t="s">
        <v>371</v>
      </c>
      <c r="D27" s="109" t="s">
        <v>547</v>
      </c>
    </row>
    <row r="28" customFormat="false" ht="14.25" hidden="false" customHeight="false" outlineLevel="0" collapsed="false">
      <c r="A28" s="108" t="n">
        <v>45</v>
      </c>
      <c r="B28" s="109" t="s">
        <v>380</v>
      </c>
      <c r="D28" s="109" t="s">
        <v>547</v>
      </c>
    </row>
    <row r="29" customFormat="false" ht="14.25" hidden="false" customHeight="false" outlineLevel="0" collapsed="false">
      <c r="A29" s="108" t="n">
        <v>46</v>
      </c>
      <c r="B29" s="109" t="s">
        <v>410</v>
      </c>
      <c r="D29" s="109" t="s">
        <v>657</v>
      </c>
    </row>
    <row r="30" customFormat="false" ht="14.25" hidden="false" customHeight="false" outlineLevel="0" collapsed="false">
      <c r="A30" s="108" t="n">
        <v>47</v>
      </c>
      <c r="B30" s="109" t="s">
        <v>411</v>
      </c>
      <c r="D30" s="109" t="s">
        <v>657</v>
      </c>
    </row>
    <row r="31" customFormat="false" ht="14.25" hidden="false" customHeight="false" outlineLevel="0" collapsed="false">
      <c r="A31" s="108" t="n">
        <v>48</v>
      </c>
      <c r="B31" s="109" t="s">
        <v>413</v>
      </c>
      <c r="D31" s="109" t="s">
        <v>657</v>
      </c>
    </row>
    <row r="32" customFormat="false" ht="14.25" hidden="false" customHeight="false" outlineLevel="0" collapsed="false">
      <c r="A32" s="108" t="n">
        <v>49</v>
      </c>
      <c r="B32" s="109" t="s">
        <v>415</v>
      </c>
      <c r="D32" s="109" t="s">
        <v>657</v>
      </c>
    </row>
    <row r="33" customFormat="false" ht="14.25" hidden="false" customHeight="false" outlineLevel="0" collapsed="false">
      <c r="A33" s="108" t="n">
        <v>50</v>
      </c>
      <c r="B33" s="109" t="s">
        <v>417</v>
      </c>
      <c r="D33" s="109" t="s">
        <v>657</v>
      </c>
    </row>
    <row r="34" customFormat="false" ht="14.25" hidden="false" customHeight="false" outlineLevel="0" collapsed="false">
      <c r="A34" s="108" t="n">
        <v>51</v>
      </c>
      <c r="B34" s="109" t="s">
        <v>419</v>
      </c>
      <c r="D34" s="109" t="s">
        <v>658</v>
      </c>
    </row>
    <row r="35" customFormat="false" ht="14.25" hidden="false" customHeight="false" outlineLevel="0" collapsed="false">
      <c r="A35" s="108" t="n">
        <v>52</v>
      </c>
      <c r="B35" s="109" t="s">
        <v>659</v>
      </c>
    </row>
    <row r="36" customFormat="false" ht="14.25" hidden="false" customHeight="false" outlineLevel="0" collapsed="false">
      <c r="A36" s="108" t="n">
        <v>53</v>
      </c>
      <c r="B36" s="109" t="s">
        <v>421</v>
      </c>
      <c r="D36" s="109" t="s">
        <v>657</v>
      </c>
    </row>
    <row r="37" customFormat="false" ht="14.25" hidden="false" customHeight="false" outlineLevel="0" collapsed="false">
      <c r="A37" s="108" t="n">
        <v>54</v>
      </c>
      <c r="B37" s="109" t="s">
        <v>394</v>
      </c>
      <c r="D37" s="109" t="s">
        <v>547</v>
      </c>
    </row>
    <row r="38" customFormat="false" ht="14.25" hidden="false" customHeight="false" outlineLevel="0" collapsed="false">
      <c r="A38" s="108" t="n">
        <v>55</v>
      </c>
      <c r="B38" s="109" t="s">
        <v>660</v>
      </c>
      <c r="D38" s="109" t="s">
        <v>657</v>
      </c>
    </row>
    <row r="39" customFormat="false" ht="14.25" hidden="false" customHeight="false" outlineLevel="0" collapsed="false">
      <c r="A39" s="108" t="n">
        <v>56</v>
      </c>
      <c r="B39" s="109" t="s">
        <v>661</v>
      </c>
      <c r="D39" s="109" t="s">
        <v>662</v>
      </c>
    </row>
    <row r="40" customFormat="false" ht="14.25" hidden="false" customHeight="false" outlineLevel="0" collapsed="false">
      <c r="A40" s="108" t="n">
        <v>57</v>
      </c>
      <c r="B40" s="109" t="s">
        <v>423</v>
      </c>
      <c r="D40" s="109" t="s">
        <v>657</v>
      </c>
    </row>
    <row r="41" customFormat="false" ht="14.25" hidden="false" customHeight="false" outlineLevel="0" collapsed="false">
      <c r="A41" s="108" t="n">
        <v>58</v>
      </c>
      <c r="B41" s="109" t="s">
        <v>663</v>
      </c>
    </row>
    <row r="42" customFormat="false" ht="14.25" hidden="false" customHeight="false" outlineLevel="0" collapsed="false">
      <c r="A42" s="108" t="n">
        <v>59</v>
      </c>
      <c r="B42" s="109" t="s">
        <v>664</v>
      </c>
      <c r="D42" s="109" t="s">
        <v>657</v>
      </c>
    </row>
    <row r="43" customFormat="false" ht="14.25" hidden="false" customHeight="false" outlineLevel="0" collapsed="false">
      <c r="A43" s="108" t="n">
        <v>60</v>
      </c>
      <c r="B43" s="109" t="s">
        <v>427</v>
      </c>
    </row>
    <row r="44" customFormat="false" ht="14.25" hidden="false" customHeight="false" outlineLevel="0" collapsed="false">
      <c r="A44" s="108" t="n">
        <v>61</v>
      </c>
      <c r="B44" s="109" t="s">
        <v>665</v>
      </c>
    </row>
    <row r="45" customFormat="false" ht="14.25" hidden="false" customHeight="false" outlineLevel="0" collapsed="false">
      <c r="A45" s="108" t="n">
        <v>62</v>
      </c>
      <c r="B45" s="109" t="s">
        <v>429</v>
      </c>
      <c r="D45" s="109" t="s">
        <v>666</v>
      </c>
    </row>
    <row r="46" customFormat="false" ht="14.25" hidden="false" customHeight="false" outlineLevel="0" collapsed="false">
      <c r="A46" s="108" t="n">
        <v>63</v>
      </c>
      <c r="B46" s="109" t="s">
        <v>431</v>
      </c>
    </row>
    <row r="47" customFormat="false" ht="14.25" hidden="false" customHeight="false" outlineLevel="0" collapsed="false">
      <c r="A47" s="108" t="n">
        <v>64</v>
      </c>
      <c r="B47" s="109" t="s">
        <v>667</v>
      </c>
      <c r="D47" s="109" t="s">
        <v>662</v>
      </c>
    </row>
    <row r="48" customFormat="false" ht="14.25" hidden="false" customHeight="false" outlineLevel="0" collapsed="false">
      <c r="A48" s="108" t="n">
        <v>65</v>
      </c>
      <c r="B48" s="109" t="s">
        <v>661</v>
      </c>
      <c r="D48" s="109" t="s">
        <v>662</v>
      </c>
    </row>
    <row r="49" customFormat="false" ht="14.25" hidden="false" customHeight="false" outlineLevel="0" collapsed="false">
      <c r="A49" s="108" t="n">
        <v>66</v>
      </c>
      <c r="B49" s="109" t="s">
        <v>668</v>
      </c>
      <c r="D49" s="109" t="s">
        <v>662</v>
      </c>
    </row>
    <row r="50" customFormat="false" ht="14.25" hidden="false" customHeight="false" outlineLevel="0" collapsed="false">
      <c r="A50" s="108" t="n">
        <v>67</v>
      </c>
      <c r="B50" s="109" t="s">
        <v>669</v>
      </c>
      <c r="D50" s="109" t="s">
        <v>662</v>
      </c>
    </row>
    <row r="51" customFormat="false" ht="14.25" hidden="false" customHeight="false" outlineLevel="0" collapsed="false">
      <c r="A51" s="108" t="n">
        <v>68</v>
      </c>
      <c r="B51" s="109" t="s">
        <v>670</v>
      </c>
    </row>
    <row r="52" customFormat="false" ht="14.25" hidden="false" customHeight="false" outlineLevel="0" collapsed="false">
      <c r="A52" s="108" t="n">
        <v>69</v>
      </c>
      <c r="B52" s="109" t="s">
        <v>671</v>
      </c>
    </row>
    <row r="53" customFormat="false" ht="14.25" hidden="false" customHeight="false" outlineLevel="0" collapsed="false">
      <c r="A53" s="108" t="n">
        <v>70</v>
      </c>
      <c r="B53" s="109" t="s">
        <v>672</v>
      </c>
    </row>
    <row r="54" customFormat="false" ht="14.25" hidden="false" customHeight="false" outlineLevel="0" collapsed="false">
      <c r="A54" s="108" t="n">
        <v>71</v>
      </c>
      <c r="B54" s="109" t="s">
        <v>673</v>
      </c>
    </row>
    <row r="55" customFormat="false" ht="14.25" hidden="false" customHeight="false" outlineLevel="0" collapsed="false">
      <c r="A55" s="108" t="n">
        <v>72</v>
      </c>
      <c r="B55" s="109" t="s">
        <v>674</v>
      </c>
    </row>
    <row r="56" customFormat="false" ht="14.25" hidden="false" customHeight="false" outlineLevel="0" collapsed="false">
      <c r="A56" s="108" t="n">
        <v>73</v>
      </c>
      <c r="B56" s="109" t="s">
        <v>675</v>
      </c>
    </row>
    <row r="57" customFormat="false" ht="14.25" hidden="false" customHeight="false" outlineLevel="0" collapsed="false">
      <c r="A57" s="108" t="n">
        <v>74</v>
      </c>
      <c r="B57" s="109" t="s">
        <v>676</v>
      </c>
    </row>
    <row r="58" customFormat="false" ht="14.25" hidden="false" customHeight="false" outlineLevel="0" collapsed="false">
      <c r="A58" s="108" t="n">
        <v>75</v>
      </c>
      <c r="B58" s="109" t="s">
        <v>677</v>
      </c>
    </row>
    <row r="59" customFormat="false" ht="14.25" hidden="false" customHeight="false" outlineLevel="0" collapsed="false">
      <c r="A59" s="108" t="n">
        <v>76</v>
      </c>
      <c r="B59" s="109" t="s">
        <v>678</v>
      </c>
    </row>
    <row r="60" customFormat="false" ht="14.25" hidden="false" customHeight="false" outlineLevel="0" collapsed="false">
      <c r="A60" s="108" t="n">
        <v>77</v>
      </c>
      <c r="B60" s="109" t="s">
        <v>679</v>
      </c>
    </row>
    <row r="61" customFormat="false" ht="14.25" hidden="false" customHeight="false" outlineLevel="0" collapsed="false">
      <c r="A61" s="108" t="n">
        <v>78</v>
      </c>
      <c r="B61" s="109" t="s">
        <v>680</v>
      </c>
    </row>
    <row r="62" customFormat="false" ht="14.25" hidden="false" customHeight="false" outlineLevel="0" collapsed="false">
      <c r="A62" s="108" t="n">
        <v>79</v>
      </c>
      <c r="B62" s="109" t="s">
        <v>681</v>
      </c>
    </row>
    <row r="63" customFormat="false" ht="14.25" hidden="false" customHeight="false" outlineLevel="0" collapsed="false">
      <c r="A63" s="108" t="n">
        <v>80</v>
      </c>
      <c r="B63" s="109" t="s">
        <v>682</v>
      </c>
    </row>
    <row r="64" customFormat="false" ht="14.25" hidden="false" customHeight="false" outlineLevel="0" collapsed="false">
      <c r="A64" s="108" t="n">
        <v>81</v>
      </c>
      <c r="B64" s="109" t="s">
        <v>683</v>
      </c>
    </row>
    <row r="65" customFormat="false" ht="14.25" hidden="false" customHeight="false" outlineLevel="0" collapsed="false">
      <c r="A65" s="108" t="n">
        <v>82</v>
      </c>
      <c r="B65" s="109" t="s">
        <v>684</v>
      </c>
    </row>
    <row r="66" customFormat="false" ht="14.25" hidden="false" customHeight="false" outlineLevel="0" collapsed="false">
      <c r="A66" s="108" t="n">
        <v>83</v>
      </c>
      <c r="B66" s="109" t="s">
        <v>685</v>
      </c>
    </row>
    <row r="67" customFormat="false" ht="14.25" hidden="false" customHeight="false" outlineLevel="0" collapsed="false">
      <c r="A67" s="108" t="n">
        <v>84</v>
      </c>
      <c r="B67" s="109" t="s">
        <v>686</v>
      </c>
    </row>
    <row r="68" customFormat="false" ht="14.25" hidden="false" customHeight="false" outlineLevel="0" collapsed="false">
      <c r="A68" s="108" t="n">
        <v>85</v>
      </c>
      <c r="B68" s="109" t="s">
        <v>687</v>
      </c>
    </row>
    <row r="69" customFormat="false" ht="14.25" hidden="false" customHeight="false" outlineLevel="0" collapsed="false">
      <c r="A69" s="108" t="n">
        <v>86</v>
      </c>
      <c r="B69" s="109" t="s">
        <v>688</v>
      </c>
    </row>
    <row r="70" customFormat="false" ht="14.25" hidden="false" customHeight="false" outlineLevel="0" collapsed="false">
      <c r="A70" s="108" t="n">
        <v>87</v>
      </c>
      <c r="B70" s="109" t="s">
        <v>689</v>
      </c>
    </row>
    <row r="71" customFormat="false" ht="14.25" hidden="false" customHeight="false" outlineLevel="0" collapsed="false">
      <c r="A71" s="108" t="n">
        <v>88</v>
      </c>
      <c r="B71" s="109" t="s">
        <v>690</v>
      </c>
    </row>
    <row r="72" customFormat="false" ht="14.25" hidden="false" customHeight="false" outlineLevel="0" collapsed="false">
      <c r="A72" s="108" t="n">
        <v>89</v>
      </c>
      <c r="B72" s="109" t="s">
        <v>691</v>
      </c>
    </row>
    <row r="73" customFormat="false" ht="14.25" hidden="false" customHeight="false" outlineLevel="0" collapsed="false">
      <c r="A73" s="108" t="n">
        <v>90</v>
      </c>
      <c r="B73" s="109" t="s">
        <v>692</v>
      </c>
    </row>
    <row r="74" customFormat="false" ht="14.25" hidden="false" customHeight="false" outlineLevel="0" collapsed="false">
      <c r="A74" s="108" t="n">
        <v>91</v>
      </c>
      <c r="B74" s="109" t="s">
        <v>693</v>
      </c>
    </row>
    <row r="75" customFormat="false" ht="14.25" hidden="false" customHeight="false" outlineLevel="0" collapsed="false">
      <c r="A75" s="108" t="n">
        <v>92</v>
      </c>
      <c r="B75" s="109" t="s">
        <v>694</v>
      </c>
    </row>
    <row r="76" customFormat="false" ht="14.25" hidden="false" customHeight="false" outlineLevel="0" collapsed="false">
      <c r="A76" s="108" t="n">
        <v>93</v>
      </c>
      <c r="B76" s="109" t="s">
        <v>695</v>
      </c>
    </row>
    <row r="77" customFormat="false" ht="14.25" hidden="false" customHeight="false" outlineLevel="0" collapsed="false">
      <c r="A77" s="108" t="n">
        <v>94</v>
      </c>
      <c r="B77" s="109" t="s">
        <v>696</v>
      </c>
    </row>
    <row r="78" customFormat="false" ht="14.25" hidden="false" customHeight="false" outlineLevel="0" collapsed="false">
      <c r="A78" s="108" t="n">
        <v>95</v>
      </c>
      <c r="B78" s="109" t="s">
        <v>697</v>
      </c>
    </row>
    <row r="79" customFormat="false" ht="14.25" hidden="false" customHeight="false" outlineLevel="0" collapsed="false">
      <c r="A79" s="108" t="n">
        <v>96</v>
      </c>
      <c r="B79" s="109" t="s">
        <v>698</v>
      </c>
    </row>
    <row r="80" customFormat="false" ht="14.25" hidden="false" customHeight="false" outlineLevel="0" collapsed="false">
      <c r="A80" s="108" t="n">
        <v>97</v>
      </c>
      <c r="B80" s="109" t="s">
        <v>699</v>
      </c>
    </row>
    <row r="81" customFormat="false" ht="14.25" hidden="false" customHeight="false" outlineLevel="0" collapsed="false">
      <c r="A81" s="108" t="n">
        <v>98</v>
      </c>
      <c r="B81" s="122" t="s">
        <v>681</v>
      </c>
      <c r="D81" s="109" t="s">
        <v>547</v>
      </c>
    </row>
    <row r="82" customFormat="false" ht="14.25" hidden="false" customHeight="false" outlineLevel="0" collapsed="false">
      <c r="A82" s="108" t="n">
        <v>100</v>
      </c>
      <c r="B82" s="122" t="s">
        <v>226</v>
      </c>
      <c r="D82" s="109" t="s">
        <v>658</v>
      </c>
    </row>
    <row r="83" customFormat="false" ht="14.25" hidden="false" customHeight="false" outlineLevel="0" collapsed="false">
      <c r="A83" s="108" t="n">
        <v>101</v>
      </c>
      <c r="B83" s="109" t="s">
        <v>700</v>
      </c>
      <c r="D83" s="109" t="s">
        <v>701</v>
      </c>
      <c r="E83" s="109" t="s">
        <v>702</v>
      </c>
    </row>
    <row r="84" customFormat="false" ht="14.25" hidden="false" customHeight="false" outlineLevel="0" collapsed="false">
      <c r="A84" s="108" t="n">
        <v>102</v>
      </c>
      <c r="B84" s="109" t="s">
        <v>703</v>
      </c>
      <c r="D84" s="109" t="s">
        <v>701</v>
      </c>
      <c r="E84" s="109" t="s">
        <v>702</v>
      </c>
      <c r="G84" s="109" t="n">
        <v>971553064607</v>
      </c>
      <c r="H84" s="109" t="n">
        <v>42250985</v>
      </c>
    </row>
    <row r="85" customFormat="false" ht="14.25" hidden="false" customHeight="false" outlineLevel="0" collapsed="false">
      <c r="A85" s="108" t="n">
        <v>103</v>
      </c>
      <c r="B85" s="109" t="s">
        <v>704</v>
      </c>
      <c r="D85" s="109" t="s">
        <v>701</v>
      </c>
      <c r="E85" s="109" t="s">
        <v>702</v>
      </c>
    </row>
    <row r="86" customFormat="false" ht="14.25" hidden="false" customHeight="false" outlineLevel="0" collapsed="false">
      <c r="A86" s="108" t="n">
        <v>104</v>
      </c>
      <c r="B86" s="109" t="s">
        <v>431</v>
      </c>
      <c r="D86" s="109" t="s">
        <v>701</v>
      </c>
      <c r="E86" s="109" t="s">
        <v>702</v>
      </c>
    </row>
    <row r="87" customFormat="false" ht="14.25" hidden="false" customHeight="false" outlineLevel="0" collapsed="false">
      <c r="A87" s="108" t="n">
        <v>105</v>
      </c>
      <c r="B87" s="109" t="s">
        <v>705</v>
      </c>
      <c r="D87" s="109" t="s">
        <v>701</v>
      </c>
      <c r="E87" s="109" t="s">
        <v>706</v>
      </c>
      <c r="H87" s="109" t="s">
        <v>707</v>
      </c>
    </row>
    <row r="88" customFormat="false" ht="14.25" hidden="false" customHeight="false" outlineLevel="0" collapsed="false">
      <c r="A88" s="108" t="n">
        <v>106</v>
      </c>
      <c r="B88" s="109" t="s">
        <v>708</v>
      </c>
      <c r="D88" s="109" t="s">
        <v>701</v>
      </c>
      <c r="E88" s="109" t="s">
        <v>709</v>
      </c>
      <c r="G88" s="109" t="s">
        <v>710</v>
      </c>
      <c r="H88" s="109" t="s">
        <v>711</v>
      </c>
    </row>
    <row r="89" customFormat="false" ht="14.25" hidden="false" customHeight="false" outlineLevel="0" collapsed="false">
      <c r="A89" s="108" t="n">
        <v>107</v>
      </c>
      <c r="B89" s="109" t="s">
        <v>712</v>
      </c>
      <c r="D89" s="109" t="s">
        <v>701</v>
      </c>
      <c r="E89" s="109" t="s">
        <v>713</v>
      </c>
    </row>
    <row r="90" customFormat="false" ht="14.25" hidden="false" customHeight="false" outlineLevel="0" collapsed="false">
      <c r="A90" s="108" t="n">
        <v>108</v>
      </c>
      <c r="B90" s="109" t="s">
        <v>714</v>
      </c>
      <c r="D90" s="109" t="s">
        <v>701</v>
      </c>
      <c r="E90" s="109" t="s">
        <v>662</v>
      </c>
    </row>
    <row r="91" customFormat="false" ht="14.25" hidden="false" customHeight="false" outlineLevel="0" collapsed="false">
      <c r="A91" s="108" t="n">
        <v>109</v>
      </c>
      <c r="B91" s="109" t="s">
        <v>715</v>
      </c>
      <c r="D91" s="109" t="s">
        <v>547</v>
      </c>
      <c r="E91" s="109" t="s">
        <v>716</v>
      </c>
    </row>
    <row r="92" customFormat="false" ht="14.25" hidden="false" customHeight="false" outlineLevel="0" collapsed="false">
      <c r="A92" s="108" t="n">
        <v>110</v>
      </c>
      <c r="B92" s="109" t="s">
        <v>665</v>
      </c>
      <c r="D92" s="109" t="s">
        <v>717</v>
      </c>
      <c r="E92" s="109" t="s">
        <v>718</v>
      </c>
    </row>
    <row r="93" customFormat="false" ht="14.25" hidden="false" customHeight="false" outlineLevel="0" collapsed="false">
      <c r="A93" s="108" t="n">
        <v>111</v>
      </c>
      <c r="B93" s="109" t="s">
        <v>719</v>
      </c>
      <c r="D93" s="109" t="s">
        <v>701</v>
      </c>
      <c r="E93" s="109" t="s">
        <v>720</v>
      </c>
      <c r="H93" s="109" t="s">
        <v>721</v>
      </c>
    </row>
    <row r="94" customFormat="false" ht="14.25" hidden="false" customHeight="false" outlineLevel="0" collapsed="false">
      <c r="A94" s="108" t="n">
        <v>112</v>
      </c>
      <c r="B94" s="109" t="s">
        <v>421</v>
      </c>
      <c r="D94" s="109" t="s">
        <v>657</v>
      </c>
      <c r="E94" s="109" t="s">
        <v>722</v>
      </c>
      <c r="H94" s="109" t="s">
        <v>723</v>
      </c>
    </row>
    <row r="95" customFormat="false" ht="14.25" hidden="false" customHeight="false" outlineLevel="0" collapsed="false">
      <c r="A95" s="108" t="n">
        <v>113</v>
      </c>
      <c r="B95" s="109" t="s">
        <v>663</v>
      </c>
      <c r="D95" s="109" t="s">
        <v>717</v>
      </c>
      <c r="E95" s="109" t="s">
        <v>724</v>
      </c>
      <c r="G95" s="109" t="s">
        <v>725</v>
      </c>
      <c r="H95" s="109" t="s">
        <v>726</v>
      </c>
    </row>
    <row r="96" customFormat="false" ht="14.25" hidden="false" customHeight="false" outlineLevel="0" collapsed="false">
      <c r="A96" s="108" t="n">
        <v>114</v>
      </c>
      <c r="B96" s="109" t="s">
        <v>727</v>
      </c>
      <c r="D96" s="109" t="s">
        <v>717</v>
      </c>
      <c r="E96" s="109" t="s">
        <v>728</v>
      </c>
      <c r="H96" s="109" t="n">
        <v>693000225</v>
      </c>
    </row>
    <row r="97" customFormat="false" ht="14.25" hidden="false" customHeight="false" outlineLevel="0" collapsed="false">
      <c r="A97" s="108" t="n">
        <v>115</v>
      </c>
      <c r="B97" s="109" t="s">
        <v>429</v>
      </c>
      <c r="D97" s="109" t="s">
        <v>717</v>
      </c>
      <c r="E97" s="109" t="s">
        <v>729</v>
      </c>
      <c r="G97" s="109" t="n">
        <v>97147017835</v>
      </c>
      <c r="H97" s="109" t="n">
        <v>97147017837</v>
      </c>
    </row>
    <row r="98" customFormat="false" ht="14.25" hidden="false" customHeight="false" outlineLevel="0" collapsed="false">
      <c r="A98" s="108" t="n">
        <v>116</v>
      </c>
      <c r="B98" s="109" t="s">
        <v>730</v>
      </c>
      <c r="D98" s="109" t="s">
        <v>717</v>
      </c>
      <c r="E98" s="109" t="s">
        <v>731</v>
      </c>
    </row>
    <row r="99" customFormat="false" ht="14.25" hidden="false" customHeight="false" outlineLevel="0" collapsed="false">
      <c r="A99" s="108" t="n">
        <v>117</v>
      </c>
      <c r="B99" s="109" t="s">
        <v>427</v>
      </c>
      <c r="D99" s="109" t="s">
        <v>732</v>
      </c>
      <c r="E99" s="109" t="s">
        <v>733</v>
      </c>
      <c r="H99" s="109" t="s">
        <v>734</v>
      </c>
    </row>
    <row r="100" customFormat="false" ht="14.25" hidden="false" customHeight="false" outlineLevel="0" collapsed="false">
      <c r="A100" s="108" t="n">
        <v>118</v>
      </c>
      <c r="B100" s="109" t="s">
        <v>394</v>
      </c>
      <c r="D100" s="109" t="s">
        <v>547</v>
      </c>
      <c r="G100" s="109" t="s">
        <v>735</v>
      </c>
      <c r="H100" s="109" t="s">
        <v>736</v>
      </c>
    </row>
    <row r="101" customFormat="false" ht="14.25" hidden="false" customHeight="false" outlineLevel="0" collapsed="false">
      <c r="A101" s="108" t="n">
        <v>119</v>
      </c>
      <c r="B101" s="109" t="s">
        <v>419</v>
      </c>
      <c r="D101" s="109" t="s">
        <v>547</v>
      </c>
      <c r="E101" s="109" t="s">
        <v>737</v>
      </c>
    </row>
    <row r="102" customFormat="false" ht="14.25" hidden="false" customHeight="false" outlineLevel="0" collapsed="false">
      <c r="A102" s="108" t="n">
        <v>120</v>
      </c>
      <c r="B102" s="109" t="s">
        <v>738</v>
      </c>
      <c r="D102" s="109" t="s">
        <v>701</v>
      </c>
      <c r="E102" s="109" t="s">
        <v>702</v>
      </c>
    </row>
    <row r="103" customFormat="false" ht="14.25" hidden="false" customHeight="false" outlineLevel="0" collapsed="false">
      <c r="A103" s="108" t="n">
        <v>121</v>
      </c>
      <c r="B103" s="109" t="s">
        <v>739</v>
      </c>
      <c r="D103" s="109" t="s">
        <v>657</v>
      </c>
      <c r="E103" s="109" t="s">
        <v>740</v>
      </c>
    </row>
    <row r="104" customFormat="false" ht="14.25" hidden="false" customHeight="false" outlineLevel="0" collapsed="false">
      <c r="A104" s="108" t="n">
        <v>122</v>
      </c>
      <c r="B104" s="109" t="s">
        <v>664</v>
      </c>
    </row>
    <row r="105" customFormat="false" ht="14.25" hidden="false" customHeight="false" outlineLevel="0" collapsed="false">
      <c r="A105" s="108" t="n">
        <v>123</v>
      </c>
      <c r="B105" s="109" t="s">
        <v>179</v>
      </c>
      <c r="D105" s="109" t="s">
        <v>741</v>
      </c>
      <c r="E105" s="109" t="s">
        <v>742</v>
      </c>
    </row>
    <row r="106" customFormat="false" ht="14.25" hidden="false" customHeight="false" outlineLevel="0" collapsed="false">
      <c r="A106" s="108" t="n">
        <v>124</v>
      </c>
      <c r="B106" s="109" t="s">
        <v>668</v>
      </c>
      <c r="D106" s="109" t="s">
        <v>717</v>
      </c>
      <c r="E106" s="109" t="s">
        <v>728</v>
      </c>
    </row>
    <row r="107" customFormat="false" ht="14.25" hidden="false" customHeight="false" outlineLevel="0" collapsed="false">
      <c r="A107" s="108" t="n">
        <v>125</v>
      </c>
      <c r="B107" s="109" t="s">
        <v>743</v>
      </c>
      <c r="D107" s="109" t="s">
        <v>547</v>
      </c>
    </row>
    <row r="108" customFormat="false" ht="14.25" hidden="false" customHeight="false" outlineLevel="0" collapsed="false">
      <c r="A108" s="108" t="n">
        <v>126</v>
      </c>
      <c r="B108" s="109" t="s">
        <v>744</v>
      </c>
    </row>
    <row r="109" customFormat="false" ht="14.25" hidden="false" customHeight="false" outlineLevel="0" collapsed="false">
      <c r="A109" s="108" t="n">
        <v>128</v>
      </c>
      <c r="B109" s="109" t="s">
        <v>404</v>
      </c>
      <c r="D109" s="109" t="s">
        <v>547</v>
      </c>
    </row>
    <row r="110" customFormat="false" ht="14.25" hidden="false" customHeight="false" outlineLevel="0" collapsed="false">
      <c r="A110" s="108" t="n">
        <v>129</v>
      </c>
      <c r="B110" s="109" t="s">
        <v>745</v>
      </c>
      <c r="D110" s="109" t="s">
        <v>717</v>
      </c>
      <c r="E110" s="109" t="s">
        <v>558</v>
      </c>
    </row>
    <row r="111" customFormat="false" ht="14.25" hidden="false" customHeight="false" outlineLevel="0" collapsed="false">
      <c r="A111" s="108" t="n">
        <v>130</v>
      </c>
      <c r="B111" s="109" t="s">
        <v>746</v>
      </c>
      <c r="D111" s="109" t="s">
        <v>717</v>
      </c>
      <c r="E111" s="109" t="s">
        <v>558</v>
      </c>
    </row>
    <row r="112" customFormat="false" ht="14.25" hidden="false" customHeight="false" outlineLevel="0" collapsed="false">
      <c r="A112" s="108" t="n">
        <v>131</v>
      </c>
      <c r="B112" s="109" t="s">
        <v>417</v>
      </c>
      <c r="D112" s="109" t="s">
        <v>717</v>
      </c>
      <c r="E112" s="109" t="s">
        <v>558</v>
      </c>
    </row>
    <row r="113" customFormat="false" ht="14.25" hidden="false" customHeight="false" outlineLevel="0" collapsed="false">
      <c r="A113" s="108" t="n">
        <v>132</v>
      </c>
      <c r="B113" s="109" t="s">
        <v>747</v>
      </c>
      <c r="D113" s="109" t="s">
        <v>717</v>
      </c>
      <c r="E113" s="109" t="s">
        <v>558</v>
      </c>
    </row>
    <row r="114" customFormat="false" ht="14.25" hidden="false" customHeight="false" outlineLevel="0" collapsed="false">
      <c r="A114" s="108" t="n">
        <v>133</v>
      </c>
      <c r="B114" s="109" t="s">
        <v>667</v>
      </c>
      <c r="D114" s="109" t="s">
        <v>717</v>
      </c>
      <c r="E114" s="109" t="s">
        <v>558</v>
      </c>
    </row>
    <row r="115" customFormat="false" ht="14.25" hidden="false" customHeight="false" outlineLevel="0" collapsed="false">
      <c r="A115" s="108" t="n">
        <v>134</v>
      </c>
      <c r="B115" s="109" t="s">
        <v>748</v>
      </c>
      <c r="D115" s="109" t="s">
        <v>717</v>
      </c>
      <c r="E115" s="109" t="s">
        <v>558</v>
      </c>
      <c r="H115" s="109" t="s">
        <v>749</v>
      </c>
    </row>
    <row r="116" customFormat="false" ht="14.25" hidden="false" customHeight="false" outlineLevel="0" collapsed="false">
      <c r="A116" s="108" t="n">
        <v>135</v>
      </c>
      <c r="B116" s="109" t="s">
        <v>413</v>
      </c>
      <c r="D116" s="109" t="s">
        <v>717</v>
      </c>
      <c r="E116" s="109" t="s">
        <v>558</v>
      </c>
    </row>
    <row r="117" customFormat="false" ht="14.25" hidden="false" customHeight="false" outlineLevel="0" collapsed="false">
      <c r="A117" s="108" t="n">
        <v>136</v>
      </c>
      <c r="B117" s="109" t="s">
        <v>750</v>
      </c>
      <c r="D117" s="109" t="s">
        <v>717</v>
      </c>
      <c r="E117" s="109" t="s">
        <v>558</v>
      </c>
    </row>
    <row r="118" customFormat="false" ht="14.25" hidden="false" customHeight="false" outlineLevel="0" collapsed="false">
      <c r="A118" s="108" t="n">
        <v>137</v>
      </c>
      <c r="B118" s="109" t="s">
        <v>411</v>
      </c>
    </row>
    <row r="119" customFormat="false" ht="14.25" hidden="false" customHeight="false" outlineLevel="0" collapsed="false">
      <c r="A119" s="108" t="n">
        <v>138</v>
      </c>
      <c r="B119" s="109" t="s">
        <v>423</v>
      </c>
      <c r="H119" s="109" t="n">
        <v>690290109</v>
      </c>
    </row>
    <row r="120" customFormat="false" ht="14.25" hidden="false" customHeight="false" outlineLevel="0" collapsed="false">
      <c r="A120" s="108" t="n">
        <v>139</v>
      </c>
      <c r="B120" s="109" t="s">
        <v>751</v>
      </c>
      <c r="D120" s="109" t="s">
        <v>717</v>
      </c>
      <c r="E120" s="109" t="s">
        <v>558</v>
      </c>
      <c r="H120" s="109" t="s">
        <v>752</v>
      </c>
    </row>
    <row r="121" customFormat="false" ht="14.25" hidden="false" customHeight="false" outlineLevel="0" collapsed="false">
      <c r="A121" s="108" t="n">
        <v>140</v>
      </c>
      <c r="B121" s="109" t="s">
        <v>753</v>
      </c>
      <c r="D121" s="109" t="s">
        <v>717</v>
      </c>
      <c r="E121" s="109" t="s">
        <v>558</v>
      </c>
      <c r="H121" s="109" t="n">
        <v>392758348</v>
      </c>
    </row>
    <row r="122" customFormat="false" ht="14.25" hidden="false" customHeight="false" outlineLevel="0" collapsed="false">
      <c r="A122" s="108" t="n">
        <v>141</v>
      </c>
      <c r="B122" s="109" t="s">
        <v>659</v>
      </c>
      <c r="D122" s="109" t="s">
        <v>717</v>
      </c>
      <c r="E122" s="109" t="s">
        <v>558</v>
      </c>
      <c r="H122" s="109" t="s">
        <v>754</v>
      </c>
    </row>
    <row r="123" customFormat="false" ht="14.25" hidden="false" customHeight="false" outlineLevel="0" collapsed="false">
      <c r="A123" s="108" t="n">
        <v>142</v>
      </c>
      <c r="B123" s="109" t="s">
        <v>755</v>
      </c>
      <c r="D123" s="109" t="s">
        <v>717</v>
      </c>
      <c r="E123" s="109" t="s">
        <v>558</v>
      </c>
      <c r="H123" s="109" t="s">
        <v>756</v>
      </c>
    </row>
    <row r="124" customFormat="false" ht="14.25" hidden="false" customHeight="false" outlineLevel="0" collapsed="false">
      <c r="A124" s="108" t="n">
        <v>143</v>
      </c>
      <c r="B124" s="109" t="s">
        <v>757</v>
      </c>
      <c r="D124" s="109" t="s">
        <v>717</v>
      </c>
      <c r="E124" s="109" t="s">
        <v>558</v>
      </c>
      <c r="H124" s="109" t="s">
        <v>758</v>
      </c>
    </row>
    <row r="125" customFormat="false" ht="14.25" hidden="false" customHeight="false" outlineLevel="0" collapsed="false">
      <c r="A125" s="108" t="n">
        <v>144</v>
      </c>
      <c r="B125" s="109" t="s">
        <v>759</v>
      </c>
    </row>
    <row r="126" customFormat="false" ht="14.25" hidden="false" customHeight="false" outlineLevel="0" collapsed="false">
      <c r="A126" s="108" t="n">
        <v>145</v>
      </c>
      <c r="B126" s="109" t="s">
        <v>760</v>
      </c>
      <c r="H126" s="109" t="n">
        <v>33685483564</v>
      </c>
    </row>
    <row r="127" customFormat="false" ht="14.25" hidden="false" customHeight="false" outlineLevel="0" collapsed="false">
      <c r="A127" s="108" t="n">
        <v>146</v>
      </c>
      <c r="B127" s="109" t="s">
        <v>410</v>
      </c>
      <c r="H127" s="109" t="n">
        <v>33749038480</v>
      </c>
    </row>
    <row r="128" customFormat="false" ht="14.25" hidden="false" customHeight="false" outlineLevel="0" collapsed="false">
      <c r="A128" s="108" t="n">
        <v>147</v>
      </c>
      <c r="B128" s="109" t="s">
        <v>415</v>
      </c>
      <c r="H128" s="109" t="n">
        <v>143348090</v>
      </c>
    </row>
    <row r="129" customFormat="false" ht="14.25" hidden="false" customHeight="false" outlineLevel="0" collapsed="false">
      <c r="A129" s="108" t="n">
        <v>148</v>
      </c>
      <c r="B129" s="109" t="s">
        <v>660</v>
      </c>
      <c r="H129" s="109" t="n">
        <v>134041313</v>
      </c>
    </row>
    <row r="130" customFormat="false" ht="14.25" hidden="false" customHeight="false" outlineLevel="0" collapsed="false">
      <c r="A130" s="108" t="n">
        <v>149</v>
      </c>
      <c r="B130" s="109" t="s">
        <v>761</v>
      </c>
    </row>
    <row r="131" customFormat="false" ht="14.25" hidden="false" customHeight="false" outlineLevel="0" collapsed="false">
      <c r="A131" s="108" t="n">
        <v>150</v>
      </c>
      <c r="B131" s="109" t="s">
        <v>661</v>
      </c>
    </row>
    <row r="132" customFormat="false" ht="14.25" hidden="false" customHeight="false" outlineLevel="0" collapsed="false">
      <c r="A132" s="108" t="n">
        <v>151</v>
      </c>
      <c r="B132" s="109" t="s">
        <v>762</v>
      </c>
      <c r="H132" s="109" t="n">
        <v>86185663578</v>
      </c>
    </row>
    <row r="133" customFormat="false" ht="14.25" hidden="false" customHeight="false" outlineLevel="0" collapsed="false">
      <c r="A133" s="108" t="n">
        <v>152</v>
      </c>
      <c r="B133" s="109" t="s">
        <v>390</v>
      </c>
    </row>
    <row r="134" customFormat="false" ht="14.25" hidden="false" customHeight="false" outlineLevel="0" collapsed="false">
      <c r="A134" s="108" t="n">
        <v>153</v>
      </c>
      <c r="B134" s="109" t="s">
        <v>406</v>
      </c>
    </row>
    <row r="135" customFormat="false" ht="14.25" hidden="false" customHeight="false" outlineLevel="0" collapsed="false">
      <c r="A135" s="108" t="n">
        <v>154</v>
      </c>
      <c r="B135" s="109" t="s">
        <v>408</v>
      </c>
    </row>
    <row r="136" customFormat="false" ht="14.25" hidden="false" customHeight="false" outlineLevel="0" collapsed="false">
      <c r="A136" s="108" t="n">
        <v>155</v>
      </c>
      <c r="B136" s="109" t="s">
        <v>700</v>
      </c>
    </row>
    <row r="137" customFormat="false" ht="14.25" hidden="false" customHeight="false" outlineLevel="0" collapsed="false">
      <c r="A137" s="108" t="n">
        <v>156</v>
      </c>
      <c r="B137" s="109" t="s">
        <v>399</v>
      </c>
    </row>
    <row r="138" customFormat="false" ht="14.25" hidden="false" customHeight="false" outlineLevel="0" collapsed="false">
      <c r="A138" s="108" t="n">
        <v>157</v>
      </c>
      <c r="B138" s="109" t="s">
        <v>763</v>
      </c>
    </row>
    <row r="139" customFormat="false" ht="14.25" hidden="false" customHeight="false" outlineLevel="0" collapsed="false">
      <c r="A139" s="108" t="n">
        <v>158</v>
      </c>
      <c r="B139" s="109" t="s">
        <v>764</v>
      </c>
    </row>
    <row r="140" customFormat="false" ht="14.25" hidden="false" customHeight="false" outlineLevel="0" collapsed="false">
      <c r="A140" s="108" t="n">
        <v>159</v>
      </c>
      <c r="B140" s="109" t="s">
        <v>765</v>
      </c>
      <c r="D140" s="109" t="s">
        <v>717</v>
      </c>
      <c r="E140" s="109" t="s">
        <v>558</v>
      </c>
    </row>
    <row r="141" customFormat="false" ht="14.25" hidden="false" customHeight="false" outlineLevel="0" collapsed="false">
      <c r="A141" s="108" t="n">
        <v>160</v>
      </c>
      <c r="B141" s="109" t="s">
        <v>766</v>
      </c>
      <c r="D141" s="109" t="s">
        <v>717</v>
      </c>
      <c r="E141" s="109" t="s">
        <v>558</v>
      </c>
    </row>
    <row r="142" customFormat="false" ht="14.25" hidden="false" customHeight="false" outlineLevel="0" collapsed="false">
      <c r="A142" s="108" t="n">
        <v>161</v>
      </c>
      <c r="B142" s="109" t="s">
        <v>767</v>
      </c>
      <c r="D142" s="109" t="s">
        <v>717</v>
      </c>
      <c r="E142" s="109" t="s">
        <v>558</v>
      </c>
      <c r="G142" s="109" t="n">
        <v>699807809</v>
      </c>
    </row>
    <row r="143" customFormat="false" ht="14.25" hidden="false" customHeight="false" outlineLevel="0" collapsed="false">
      <c r="A143" s="108" t="n">
        <v>162</v>
      </c>
      <c r="B143" s="109" t="s">
        <v>768</v>
      </c>
      <c r="D143" s="109" t="s">
        <v>717</v>
      </c>
      <c r="E143" s="109" t="s">
        <v>558</v>
      </c>
      <c r="H143" s="109" t="n">
        <v>673932373</v>
      </c>
    </row>
    <row r="144" customFormat="false" ht="14.25" hidden="false" customHeight="false" outlineLevel="0" collapsed="false">
      <c r="A144" s="108" t="n">
        <v>163</v>
      </c>
      <c r="B144" s="109" t="s">
        <v>769</v>
      </c>
      <c r="D144" s="109" t="s">
        <v>717</v>
      </c>
      <c r="E144" s="109" t="s">
        <v>558</v>
      </c>
      <c r="H144" s="109" t="n">
        <v>671321355</v>
      </c>
    </row>
    <row r="145" customFormat="false" ht="14.25" hidden="false" customHeight="false" outlineLevel="0" collapsed="false">
      <c r="A145" s="108" t="n">
        <v>164</v>
      </c>
      <c r="B145" s="109" t="s">
        <v>201</v>
      </c>
      <c r="D145" s="109" t="s">
        <v>717</v>
      </c>
      <c r="E145" s="109" t="s">
        <v>558</v>
      </c>
      <c r="G145" s="109" t="n">
        <v>681999944</v>
      </c>
      <c r="H145" s="109" t="n">
        <v>690945740</v>
      </c>
    </row>
    <row r="146" customFormat="false" ht="14.25" hidden="false" customHeight="false" outlineLevel="0" collapsed="false">
      <c r="A146" s="108" t="n">
        <v>165</v>
      </c>
      <c r="B146" s="109" t="s">
        <v>770</v>
      </c>
      <c r="D146" s="109" t="s">
        <v>717</v>
      </c>
      <c r="E146" s="109" t="s">
        <v>558</v>
      </c>
      <c r="G146" s="109" t="n">
        <v>694034075</v>
      </c>
      <c r="H146" s="109" t="n">
        <v>675355903</v>
      </c>
    </row>
    <row r="147" customFormat="false" ht="14.25" hidden="false" customHeight="false" outlineLevel="0" collapsed="false">
      <c r="A147" s="108" t="n">
        <v>166</v>
      </c>
      <c r="B147" s="109" t="s">
        <v>501</v>
      </c>
      <c r="D147" s="109" t="s">
        <v>717</v>
      </c>
      <c r="E147" s="109" t="s">
        <v>558</v>
      </c>
      <c r="H147" s="109" t="n">
        <v>655681662</v>
      </c>
    </row>
    <row r="148" customFormat="false" ht="14.25" hidden="false" customHeight="false" outlineLevel="0" collapsed="false">
      <c r="A148" s="108" t="n">
        <v>167</v>
      </c>
      <c r="B148" s="109" t="s">
        <v>771</v>
      </c>
      <c r="D148" s="109" t="s">
        <v>717</v>
      </c>
      <c r="E148" s="109" t="s">
        <v>558</v>
      </c>
      <c r="G148" s="109" t="n">
        <v>222223068</v>
      </c>
      <c r="H148" s="109" t="n">
        <v>233436478</v>
      </c>
    </row>
    <row r="149" customFormat="false" ht="14.25" hidden="false" customHeight="false" outlineLevel="0" collapsed="false">
      <c r="A149" s="108" t="n">
        <v>168</v>
      </c>
      <c r="B149" s="109" t="s">
        <v>772</v>
      </c>
      <c r="D149" s="109" t="s">
        <v>717</v>
      </c>
      <c r="E149" s="109" t="s">
        <v>728</v>
      </c>
    </row>
    <row r="150" customFormat="false" ht="14.25" hidden="false" customHeight="false" outlineLevel="0" collapsed="false">
      <c r="A150" s="108" t="n">
        <v>169</v>
      </c>
      <c r="B150" s="109" t="s">
        <v>773</v>
      </c>
      <c r="D150" s="109" t="s">
        <v>717</v>
      </c>
      <c r="E150" s="109" t="s">
        <v>728</v>
      </c>
      <c r="G150" s="109" t="n">
        <v>653024305</v>
      </c>
      <c r="H150" s="109" t="n">
        <v>697989596</v>
      </c>
    </row>
    <row r="151" customFormat="false" ht="14.25" hidden="false" customHeight="false" outlineLevel="0" collapsed="false">
      <c r="A151" s="108" t="n">
        <v>170</v>
      </c>
      <c r="B151" s="109" t="s">
        <v>774</v>
      </c>
      <c r="D151" s="109" t="s">
        <v>717</v>
      </c>
      <c r="E151" s="109" t="s">
        <v>558</v>
      </c>
    </row>
    <row r="152" customFormat="false" ht="14.25" hidden="false" customHeight="false" outlineLevel="0" collapsed="false">
      <c r="A152" s="108" t="n">
        <v>171</v>
      </c>
      <c r="B152" s="109" t="s">
        <v>775</v>
      </c>
      <c r="D152" s="109" t="s">
        <v>717</v>
      </c>
      <c r="E152" s="109" t="s">
        <v>558</v>
      </c>
    </row>
    <row r="153" customFormat="false" ht="14.25" hidden="false" customHeight="false" outlineLevel="0" collapsed="false">
      <c r="A153" s="108" t="n">
        <v>172</v>
      </c>
      <c r="B153" s="109" t="s">
        <v>776</v>
      </c>
      <c r="D153" s="109" t="s">
        <v>717</v>
      </c>
      <c r="E153" s="109" t="s">
        <v>558</v>
      </c>
    </row>
    <row r="154" customFormat="false" ht="14.25" hidden="false" customHeight="false" outlineLevel="0" collapsed="false">
      <c r="A154" s="108" t="n">
        <v>173</v>
      </c>
      <c r="B154" s="109" t="s">
        <v>777</v>
      </c>
      <c r="D154" s="109" t="s">
        <v>717</v>
      </c>
      <c r="E154" s="109" t="s">
        <v>728</v>
      </c>
      <c r="G154" s="109" t="n">
        <v>222228477</v>
      </c>
      <c r="H154" s="109" t="n">
        <v>222221387</v>
      </c>
    </row>
    <row r="155" customFormat="false" ht="14.25" hidden="false" customHeight="false" outlineLevel="0" collapsed="false">
      <c r="A155" s="108" t="n">
        <v>174</v>
      </c>
      <c r="B155" s="109" t="s">
        <v>778</v>
      </c>
      <c r="D155" s="109" t="s">
        <v>717</v>
      </c>
      <c r="E155" s="109" t="s">
        <v>558</v>
      </c>
      <c r="G155" s="109" t="n">
        <v>670452000</v>
      </c>
      <c r="H155" s="109" t="n">
        <v>672684458</v>
      </c>
    </row>
    <row r="156" customFormat="false" ht="14.25" hidden="false" customHeight="false" outlineLevel="0" collapsed="false">
      <c r="A156" s="108" t="n">
        <v>175</v>
      </c>
      <c r="B156" s="109" t="s">
        <v>779</v>
      </c>
      <c r="D156" s="109" t="s">
        <v>717</v>
      </c>
      <c r="E156" s="109" t="s">
        <v>558</v>
      </c>
    </row>
    <row r="157" customFormat="false" ht="14.25" hidden="false" customHeight="false" outlineLevel="0" collapsed="false">
      <c r="A157" s="108" t="n">
        <v>176</v>
      </c>
      <c r="B157" s="109" t="s">
        <v>780</v>
      </c>
      <c r="D157" s="109" t="s">
        <v>717</v>
      </c>
      <c r="E157" s="109" t="s">
        <v>558</v>
      </c>
      <c r="G157" s="109" t="n">
        <v>682678732</v>
      </c>
      <c r="H157" s="109" t="n">
        <v>695955471</v>
      </c>
    </row>
    <row r="158" customFormat="false" ht="14.25" hidden="false" customHeight="false" outlineLevel="0" collapsed="false">
      <c r="A158" s="108" t="n">
        <v>177</v>
      </c>
      <c r="B158" s="109" t="s">
        <v>781</v>
      </c>
      <c r="D158" s="109" t="s">
        <v>717</v>
      </c>
      <c r="E158" s="109" t="s">
        <v>782</v>
      </c>
      <c r="G158" s="109" t="n">
        <v>677196893</v>
      </c>
      <c r="H158" s="109" t="n">
        <v>699088000</v>
      </c>
    </row>
    <row r="159" customFormat="false" ht="14.25" hidden="false" customHeight="false" outlineLevel="0" collapsed="false">
      <c r="A159" s="108" t="n">
        <v>178</v>
      </c>
      <c r="B159" s="109" t="s">
        <v>783</v>
      </c>
      <c r="D159" s="109" t="s">
        <v>717</v>
      </c>
      <c r="E159" s="109" t="s">
        <v>558</v>
      </c>
    </row>
    <row r="160" customFormat="false" ht="14.25" hidden="false" customHeight="false" outlineLevel="0" collapsed="false">
      <c r="A160" s="108" t="n">
        <v>179</v>
      </c>
      <c r="B160" s="109" t="s">
        <v>784</v>
      </c>
      <c r="D160" s="109" t="s">
        <v>717</v>
      </c>
      <c r="E160" s="109" t="s">
        <v>558</v>
      </c>
      <c r="G160" s="109" t="n">
        <v>691923034</v>
      </c>
      <c r="H160" s="109" t="n">
        <v>699503312</v>
      </c>
    </row>
    <row r="161" customFormat="false" ht="14.25" hidden="false" customHeight="false" outlineLevel="0" collapsed="false">
      <c r="A161" s="108" t="n">
        <v>180</v>
      </c>
      <c r="B161" s="109" t="s">
        <v>785</v>
      </c>
      <c r="D161" s="109" t="s">
        <v>717</v>
      </c>
      <c r="E161" s="109" t="s">
        <v>728</v>
      </c>
    </row>
    <row r="162" customFormat="false" ht="14.25" hidden="false" customHeight="false" outlineLevel="0" collapsed="false">
      <c r="A162" s="108" t="n">
        <v>181</v>
      </c>
      <c r="B162" s="109" t="s">
        <v>786</v>
      </c>
      <c r="D162" s="109" t="s">
        <v>717</v>
      </c>
      <c r="E162" s="109" t="s">
        <v>728</v>
      </c>
      <c r="G162" s="109" t="n">
        <v>656775351</v>
      </c>
      <c r="H162" s="109" t="n">
        <v>676764886</v>
      </c>
    </row>
    <row r="163" customFormat="false" ht="14.25" hidden="false" customHeight="false" outlineLevel="0" collapsed="false">
      <c r="A163" s="108" t="n">
        <v>182</v>
      </c>
      <c r="B163" s="109" t="s">
        <v>787</v>
      </c>
      <c r="D163" s="109" t="s">
        <v>717</v>
      </c>
      <c r="E163" s="109" t="s">
        <v>558</v>
      </c>
      <c r="H163" s="109" t="s">
        <v>788</v>
      </c>
    </row>
    <row r="164" customFormat="false" ht="14.25" hidden="false" customHeight="false" outlineLevel="0" collapsed="false">
      <c r="A164" s="108" t="n">
        <v>183</v>
      </c>
      <c r="B164" s="109" t="s">
        <v>789</v>
      </c>
      <c r="D164" s="109" t="s">
        <v>717</v>
      </c>
      <c r="E164" s="109" t="s">
        <v>728</v>
      </c>
      <c r="H164" s="109" t="n">
        <v>694310866</v>
      </c>
    </row>
    <row r="165" customFormat="false" ht="14.25" hidden="false" customHeight="false" outlineLevel="0" collapsed="false">
      <c r="A165" s="108" t="n">
        <v>184</v>
      </c>
      <c r="B165" s="109" t="s">
        <v>790</v>
      </c>
      <c r="D165" s="109" t="s">
        <v>717</v>
      </c>
      <c r="E165" s="109" t="s">
        <v>558</v>
      </c>
      <c r="H165" s="109" t="s">
        <v>791</v>
      </c>
    </row>
    <row r="166" customFormat="false" ht="14.25" hidden="false" customHeight="false" outlineLevel="0" collapsed="false">
      <c r="A166" s="108" t="n">
        <v>185</v>
      </c>
      <c r="B166" s="109" t="s">
        <v>792</v>
      </c>
      <c r="D166" s="109" t="s">
        <v>717</v>
      </c>
      <c r="E166" s="109" t="s">
        <v>558</v>
      </c>
      <c r="G166" s="109" t="n">
        <v>677637146</v>
      </c>
      <c r="H166" s="109" t="n">
        <v>697737375</v>
      </c>
    </row>
    <row r="167" customFormat="false" ht="14.25" hidden="false" customHeight="false" outlineLevel="0" collapsed="false">
      <c r="A167" s="108" t="n">
        <v>186</v>
      </c>
      <c r="B167" s="109" t="s">
        <v>793</v>
      </c>
      <c r="D167" s="109" t="s">
        <v>717</v>
      </c>
      <c r="E167" s="109" t="s">
        <v>558</v>
      </c>
      <c r="H167" s="109" t="n">
        <v>693173002</v>
      </c>
    </row>
    <row r="168" customFormat="false" ht="14.25" hidden="false" customHeight="false" outlineLevel="0" collapsed="false">
      <c r="A168" s="108" t="n">
        <v>187</v>
      </c>
      <c r="B168" s="109" t="s">
        <v>794</v>
      </c>
      <c r="D168" s="109" t="s">
        <v>717</v>
      </c>
      <c r="E168" s="109" t="s">
        <v>795</v>
      </c>
    </row>
    <row r="169" customFormat="false" ht="14.25" hidden="false" customHeight="false" outlineLevel="0" collapsed="false">
      <c r="A169" s="108" t="n">
        <v>188</v>
      </c>
      <c r="B169" s="109" t="s">
        <v>796</v>
      </c>
      <c r="D169" s="109" t="s">
        <v>717</v>
      </c>
      <c r="E169" s="109" t="s">
        <v>797</v>
      </c>
    </row>
    <row r="170" customFormat="false" ht="14.25" hidden="false" customHeight="false" outlineLevel="0" collapsed="false">
      <c r="A170" s="108" t="n">
        <v>189</v>
      </c>
      <c r="B170" s="109" t="s">
        <v>214</v>
      </c>
      <c r="D170" s="109" t="s">
        <v>717</v>
      </c>
      <c r="E170" s="109" t="s">
        <v>728</v>
      </c>
      <c r="G170" s="109" t="n">
        <v>678032782</v>
      </c>
      <c r="H170" s="109" t="n">
        <v>691871312</v>
      </c>
    </row>
    <row r="171" customFormat="false" ht="14.25" hidden="false" customHeight="false" outlineLevel="0" collapsed="false">
      <c r="A171" s="108" t="n">
        <v>190</v>
      </c>
      <c r="B171" s="109" t="s">
        <v>26</v>
      </c>
      <c r="D171" s="109" t="s">
        <v>717</v>
      </c>
      <c r="E171" s="109" t="s">
        <v>798</v>
      </c>
      <c r="H171" s="109" t="n">
        <v>675527626</v>
      </c>
    </row>
    <row r="172" customFormat="false" ht="14.25" hidden="false" customHeight="false" outlineLevel="0" collapsed="false">
      <c r="A172" s="108" t="n">
        <v>191</v>
      </c>
      <c r="B172" s="109" t="s">
        <v>799</v>
      </c>
      <c r="D172" s="109" t="s">
        <v>717</v>
      </c>
      <c r="E172" s="109" t="s">
        <v>558</v>
      </c>
      <c r="H172" s="109" t="n">
        <v>695136812</v>
      </c>
    </row>
    <row r="173" customFormat="false" ht="14.25" hidden="false" customHeight="false" outlineLevel="0" collapsed="false">
      <c r="A173" s="108" t="n">
        <v>192</v>
      </c>
      <c r="B173" s="109" t="s">
        <v>134</v>
      </c>
      <c r="D173" s="109" t="s">
        <v>717</v>
      </c>
      <c r="E173" s="109" t="s">
        <v>728</v>
      </c>
    </row>
    <row r="174" customFormat="false" ht="14.25" hidden="false" customHeight="false" outlineLevel="0" collapsed="false">
      <c r="A174" s="108" t="n">
        <v>193</v>
      </c>
      <c r="B174" s="109" t="s">
        <v>800</v>
      </c>
      <c r="D174" s="109" t="s">
        <v>717</v>
      </c>
      <c r="E174" s="109" t="s">
        <v>558</v>
      </c>
      <c r="H174" s="109" t="s">
        <v>801</v>
      </c>
    </row>
    <row r="175" customFormat="false" ht="14.25" hidden="false" customHeight="false" outlineLevel="0" collapsed="false">
      <c r="A175" s="108" t="n">
        <v>194</v>
      </c>
      <c r="B175" s="109" t="s">
        <v>802</v>
      </c>
      <c r="D175" s="109" t="s">
        <v>717</v>
      </c>
      <c r="E175" s="109" t="s">
        <v>558</v>
      </c>
    </row>
    <row r="176" customFormat="false" ht="14.25" hidden="false" customHeight="false" outlineLevel="0" collapsed="false">
      <c r="A176" s="108" t="n">
        <v>195</v>
      </c>
      <c r="B176" s="109" t="s">
        <v>803</v>
      </c>
      <c r="D176" s="109" t="s">
        <v>717</v>
      </c>
      <c r="E176" s="109" t="s">
        <v>728</v>
      </c>
      <c r="G176" s="109" t="n">
        <v>693322326</v>
      </c>
      <c r="H176" s="109" t="n">
        <v>677281781</v>
      </c>
    </row>
    <row r="177" customFormat="false" ht="14.25" hidden="false" customHeight="false" outlineLevel="0" collapsed="false">
      <c r="A177" s="108" t="n">
        <v>196</v>
      </c>
      <c r="B177" s="109" t="s">
        <v>804</v>
      </c>
      <c r="D177" s="109" t="s">
        <v>717</v>
      </c>
      <c r="E177" s="109" t="s">
        <v>728</v>
      </c>
      <c r="G177" s="109" t="n">
        <v>695644916</v>
      </c>
      <c r="H177" s="109" t="n">
        <v>677359684</v>
      </c>
    </row>
    <row r="178" customFormat="false" ht="14.25" hidden="false" customHeight="false" outlineLevel="0" collapsed="false">
      <c r="A178" s="108" t="n">
        <v>197</v>
      </c>
      <c r="B178" s="109" t="s">
        <v>151</v>
      </c>
      <c r="D178" s="109" t="s">
        <v>717</v>
      </c>
      <c r="E178" s="109" t="s">
        <v>805</v>
      </c>
      <c r="G178" s="109" t="s">
        <v>806</v>
      </c>
      <c r="H178" s="109" t="s">
        <v>807</v>
      </c>
    </row>
    <row r="179" customFormat="false" ht="14.25" hidden="false" customHeight="false" outlineLevel="0" collapsed="false">
      <c r="A179" s="108" t="n">
        <v>198</v>
      </c>
      <c r="B179" s="109" t="s">
        <v>808</v>
      </c>
      <c r="D179" s="109" t="s">
        <v>717</v>
      </c>
      <c r="E179" s="109" t="s">
        <v>558</v>
      </c>
      <c r="G179" s="109" t="n">
        <v>691716858</v>
      </c>
      <c r="H179" s="109" t="n">
        <v>670101117</v>
      </c>
    </row>
    <row r="180" customFormat="false" ht="14.25" hidden="false" customHeight="false" outlineLevel="0" collapsed="false">
      <c r="A180" s="108" t="n">
        <v>199</v>
      </c>
      <c r="B180" s="109" t="s">
        <v>809</v>
      </c>
      <c r="D180" s="109" t="s">
        <v>717</v>
      </c>
      <c r="E180" s="109" t="s">
        <v>558</v>
      </c>
    </row>
    <row r="181" customFormat="false" ht="14.25" hidden="false" customHeight="false" outlineLevel="0" collapsed="false">
      <c r="A181" s="108" t="n">
        <v>200</v>
      </c>
      <c r="B181" s="109" t="s">
        <v>810</v>
      </c>
      <c r="D181" s="109" t="s">
        <v>717</v>
      </c>
      <c r="E181" s="109" t="s">
        <v>558</v>
      </c>
      <c r="G181" s="109" t="n">
        <v>673468429</v>
      </c>
      <c r="H181" s="109" t="n">
        <v>678767370</v>
      </c>
    </row>
    <row r="182" customFormat="false" ht="14.25" hidden="false" customHeight="false" outlineLevel="0" collapsed="false">
      <c r="A182" s="108" t="n">
        <v>201</v>
      </c>
      <c r="B182" s="109" t="s">
        <v>176</v>
      </c>
      <c r="D182" s="109" t="s">
        <v>717</v>
      </c>
      <c r="E182" s="109" t="s">
        <v>728</v>
      </c>
      <c r="G182" s="109" t="n">
        <v>697511850</v>
      </c>
      <c r="H182" s="109" t="s">
        <v>811</v>
      </c>
    </row>
    <row r="183" customFormat="false" ht="14.25" hidden="false" customHeight="false" outlineLevel="0" collapsed="false">
      <c r="A183" s="108" t="n">
        <v>202</v>
      </c>
      <c r="B183" s="109" t="s">
        <v>812</v>
      </c>
      <c r="D183" s="109" t="s">
        <v>717</v>
      </c>
      <c r="E183" s="109" t="s">
        <v>728</v>
      </c>
      <c r="G183" s="109" t="n">
        <v>694446090</v>
      </c>
      <c r="H183" s="109" t="n">
        <v>677862526</v>
      </c>
    </row>
    <row r="184" customFormat="false" ht="14.25" hidden="false" customHeight="false" outlineLevel="0" collapsed="false">
      <c r="A184" s="108" t="n">
        <v>203</v>
      </c>
      <c r="B184" s="109" t="s">
        <v>813</v>
      </c>
      <c r="D184" s="109" t="s">
        <v>717</v>
      </c>
      <c r="E184" s="109" t="s">
        <v>814</v>
      </c>
      <c r="G184" s="109" t="n">
        <v>690856467</v>
      </c>
      <c r="H184" s="109" t="n">
        <v>670384463</v>
      </c>
    </row>
    <row r="185" customFormat="false" ht="14.25" hidden="false" customHeight="false" outlineLevel="0" collapsed="false">
      <c r="A185" s="108" t="n">
        <v>204</v>
      </c>
      <c r="B185" s="109" t="s">
        <v>815</v>
      </c>
      <c r="D185" s="109" t="s">
        <v>717</v>
      </c>
      <c r="E185" s="109" t="s">
        <v>558</v>
      </c>
      <c r="G185" s="109" t="n">
        <v>697618267</v>
      </c>
      <c r="H185" s="109" t="n">
        <v>675800329</v>
      </c>
    </row>
    <row r="186" customFormat="false" ht="14.25" hidden="false" customHeight="false" outlineLevel="0" collapsed="false">
      <c r="A186" s="108" t="n">
        <v>205</v>
      </c>
      <c r="B186" s="109" t="s">
        <v>816</v>
      </c>
      <c r="D186" s="109" t="s">
        <v>717</v>
      </c>
      <c r="E186" s="109" t="s">
        <v>728</v>
      </c>
      <c r="G186" s="109" t="n">
        <v>657690086</v>
      </c>
      <c r="H186" s="109" t="n">
        <v>651412351</v>
      </c>
    </row>
    <row r="187" customFormat="false" ht="14.25" hidden="false" customHeight="false" outlineLevel="0" collapsed="false">
      <c r="A187" s="108" t="n">
        <v>206</v>
      </c>
      <c r="B187" s="109" t="s">
        <v>817</v>
      </c>
      <c r="D187" s="109" t="s">
        <v>717</v>
      </c>
      <c r="E187" s="109" t="s">
        <v>728</v>
      </c>
    </row>
    <row r="188" customFormat="false" ht="14.25" hidden="false" customHeight="false" outlineLevel="0" collapsed="false">
      <c r="A188" s="108" t="n">
        <v>207</v>
      </c>
      <c r="B188" s="109" t="s">
        <v>818</v>
      </c>
      <c r="D188" s="109" t="s">
        <v>717</v>
      </c>
      <c r="E188" s="109" t="s">
        <v>814</v>
      </c>
      <c r="G188" s="109" t="n">
        <v>654548126</v>
      </c>
      <c r="H188" s="109" t="n">
        <v>697902177</v>
      </c>
    </row>
    <row r="189" customFormat="false" ht="14.25" hidden="false" customHeight="false" outlineLevel="0" collapsed="false">
      <c r="A189" s="108" t="n">
        <v>208</v>
      </c>
      <c r="B189" s="109" t="s">
        <v>819</v>
      </c>
      <c r="D189" s="109" t="s">
        <v>717</v>
      </c>
      <c r="E189" s="109" t="s">
        <v>558</v>
      </c>
      <c r="G189" s="109" t="n">
        <v>693830050</v>
      </c>
      <c r="H189" s="109" t="n">
        <v>677575378</v>
      </c>
    </row>
    <row r="190" customFormat="false" ht="14.25" hidden="false" customHeight="false" outlineLevel="0" collapsed="false">
      <c r="A190" s="108" t="n">
        <v>209</v>
      </c>
      <c r="B190" s="109" t="s">
        <v>820</v>
      </c>
      <c r="D190" s="109" t="s">
        <v>717</v>
      </c>
      <c r="E190" s="109" t="s">
        <v>558</v>
      </c>
    </row>
    <row r="191" customFormat="false" ht="14.25" hidden="false" customHeight="false" outlineLevel="0" collapsed="false">
      <c r="A191" s="108" t="n">
        <v>210</v>
      </c>
      <c r="B191" s="109" t="s">
        <v>821</v>
      </c>
      <c r="D191" s="109" t="s">
        <v>717</v>
      </c>
      <c r="E191" s="109" t="s">
        <v>822</v>
      </c>
      <c r="H191" s="109" t="n">
        <v>679259546</v>
      </c>
    </row>
    <row r="192" customFormat="false" ht="14.25" hidden="false" customHeight="false" outlineLevel="0" collapsed="false">
      <c r="A192" s="108" t="n">
        <v>211</v>
      </c>
      <c r="B192" s="109" t="s">
        <v>823</v>
      </c>
      <c r="D192" s="109" t="s">
        <v>717</v>
      </c>
      <c r="E192" s="109" t="s">
        <v>728</v>
      </c>
      <c r="G192" s="109" t="n">
        <v>679009045</v>
      </c>
      <c r="H192" s="109" t="n">
        <v>679009000</v>
      </c>
    </row>
    <row r="193" customFormat="false" ht="14.25" hidden="false" customHeight="false" outlineLevel="0" collapsed="false">
      <c r="A193" s="108" t="n">
        <v>212</v>
      </c>
      <c r="B193" s="109" t="s">
        <v>824</v>
      </c>
      <c r="D193" s="109" t="s">
        <v>717</v>
      </c>
      <c r="E193" s="109" t="s">
        <v>728</v>
      </c>
      <c r="H193" s="109" t="n">
        <v>677186345</v>
      </c>
    </row>
    <row r="194" customFormat="false" ht="14.25" hidden="false" customHeight="false" outlineLevel="0" collapsed="false">
      <c r="A194" s="108" t="n">
        <v>213</v>
      </c>
      <c r="B194" s="109" t="s">
        <v>825</v>
      </c>
      <c r="D194" s="109" t="s">
        <v>717</v>
      </c>
      <c r="E194" s="109" t="s">
        <v>814</v>
      </c>
      <c r="H194" s="109" t="n">
        <v>237233434725</v>
      </c>
    </row>
    <row r="195" customFormat="false" ht="14.25" hidden="false" customHeight="false" outlineLevel="0" collapsed="false">
      <c r="A195" s="108" t="n">
        <v>214</v>
      </c>
      <c r="B195" s="109" t="s">
        <v>644</v>
      </c>
    </row>
    <row r="196" customFormat="false" ht="14.25" hidden="false" customHeight="false" outlineLevel="0" collapsed="false">
      <c r="A196" s="108" t="n">
        <v>215</v>
      </c>
      <c r="B196" s="109" t="s">
        <v>115</v>
      </c>
      <c r="D196" s="109" t="s">
        <v>717</v>
      </c>
      <c r="E196" s="109" t="s">
        <v>814</v>
      </c>
      <c r="H196" s="109" t="n">
        <v>652113285</v>
      </c>
    </row>
    <row r="197" customFormat="false" ht="14.25" hidden="false" customHeight="false" outlineLevel="0" collapsed="false">
      <c r="A197" s="108" t="n">
        <v>216</v>
      </c>
      <c r="B197" s="109" t="s">
        <v>826</v>
      </c>
      <c r="D197" s="109" t="s">
        <v>717</v>
      </c>
      <c r="E197" s="109" t="s">
        <v>558</v>
      </c>
      <c r="G197" s="109" t="n">
        <v>655088686</v>
      </c>
      <c r="H197" s="109" t="n">
        <v>679765060</v>
      </c>
    </row>
    <row r="198" customFormat="false" ht="14.25" hidden="false" customHeight="false" outlineLevel="0" collapsed="false">
      <c r="A198" s="108" t="n">
        <v>218</v>
      </c>
      <c r="B198" s="109" t="s">
        <v>827</v>
      </c>
      <c r="D198" s="109" t="s">
        <v>717</v>
      </c>
      <c r="E198" s="109" t="s">
        <v>558</v>
      </c>
      <c r="H198" s="109" t="n">
        <v>677542278</v>
      </c>
    </row>
    <row r="199" customFormat="false" ht="14.25" hidden="false" customHeight="false" outlineLevel="0" collapsed="false">
      <c r="A199" s="108" t="n">
        <v>219</v>
      </c>
      <c r="B199" s="109" t="s">
        <v>828</v>
      </c>
      <c r="D199" s="109" t="s">
        <v>717</v>
      </c>
      <c r="E199" s="109" t="s">
        <v>814</v>
      </c>
      <c r="H199" s="109" t="n">
        <v>683148181</v>
      </c>
    </row>
    <row r="200" customFormat="false" ht="14.25" hidden="false" customHeight="false" outlineLevel="0" collapsed="false">
      <c r="A200" s="108" t="n">
        <v>220</v>
      </c>
      <c r="B200" s="109" t="s">
        <v>829</v>
      </c>
      <c r="D200" s="109" t="s">
        <v>717</v>
      </c>
      <c r="E200" s="109" t="s">
        <v>830</v>
      </c>
      <c r="H200" s="109" t="n">
        <v>699938529</v>
      </c>
    </row>
    <row r="201" customFormat="false" ht="14.25" hidden="false" customHeight="false" outlineLevel="0" collapsed="false">
      <c r="A201" s="108" t="n">
        <v>221</v>
      </c>
      <c r="B201" s="109" t="s">
        <v>831</v>
      </c>
      <c r="D201" s="109" t="s">
        <v>717</v>
      </c>
      <c r="E201" s="109" t="s">
        <v>728</v>
      </c>
      <c r="H201" s="109" t="n">
        <v>677755300</v>
      </c>
    </row>
    <row r="202" customFormat="false" ht="14.25" hidden="false" customHeight="false" outlineLevel="0" collapsed="false">
      <c r="A202" s="108" t="n">
        <v>222</v>
      </c>
      <c r="B202" s="109" t="s">
        <v>832</v>
      </c>
      <c r="D202" s="109" t="s">
        <v>717</v>
      </c>
      <c r="E202" s="109" t="s">
        <v>558</v>
      </c>
      <c r="G202" s="109" t="n">
        <v>696671190</v>
      </c>
      <c r="H202" s="109" t="n">
        <v>697333614</v>
      </c>
      <c r="I202" s="123" t="s">
        <v>833</v>
      </c>
      <c r="J202" s="123" t="s">
        <v>834</v>
      </c>
    </row>
    <row r="203" customFormat="false" ht="14.25" hidden="false" customHeight="false" outlineLevel="0" collapsed="false">
      <c r="A203" s="108" t="n">
        <v>223</v>
      </c>
      <c r="B203" s="109" t="s">
        <v>835</v>
      </c>
      <c r="D203" s="109" t="s">
        <v>717</v>
      </c>
      <c r="E203" s="109" t="s">
        <v>814</v>
      </c>
      <c r="H203" s="109" t="n">
        <v>699877089</v>
      </c>
    </row>
    <row r="204" customFormat="false" ht="14.25" hidden="false" customHeight="false" outlineLevel="0" collapsed="false">
      <c r="A204" s="108" t="n">
        <v>224</v>
      </c>
      <c r="B204" s="109" t="s">
        <v>836</v>
      </c>
      <c r="D204" s="109" t="s">
        <v>717</v>
      </c>
      <c r="E204" s="109" t="s">
        <v>558</v>
      </c>
      <c r="H204" s="109" t="n">
        <v>699540508</v>
      </c>
    </row>
    <row r="205" customFormat="false" ht="14.25" hidden="false" customHeight="false" outlineLevel="0" collapsed="false">
      <c r="A205" s="108" t="n">
        <v>225</v>
      </c>
      <c r="B205" s="109" t="s">
        <v>197</v>
      </c>
      <c r="D205" s="109" t="s">
        <v>717</v>
      </c>
      <c r="E205" s="109" t="s">
        <v>814</v>
      </c>
      <c r="H205" s="109" t="n">
        <v>695351188</v>
      </c>
    </row>
    <row r="206" customFormat="false" ht="14.25" hidden="false" customHeight="false" outlineLevel="0" collapsed="false">
      <c r="A206" s="108" t="n">
        <v>226</v>
      </c>
      <c r="B206" s="109" t="s">
        <v>837</v>
      </c>
      <c r="D206" s="109" t="s">
        <v>717</v>
      </c>
      <c r="E206" s="109" t="s">
        <v>814</v>
      </c>
      <c r="G206" s="109" t="s">
        <v>838</v>
      </c>
      <c r="H206" s="109" t="n">
        <v>653258767</v>
      </c>
    </row>
    <row r="207" customFormat="false" ht="14.25" hidden="false" customHeight="false" outlineLevel="0" collapsed="false">
      <c r="A207" s="108" t="n">
        <v>227</v>
      </c>
      <c r="B207" s="109" t="s">
        <v>839</v>
      </c>
      <c r="D207" s="109" t="s">
        <v>717</v>
      </c>
      <c r="E207" s="109" t="s">
        <v>840</v>
      </c>
    </row>
    <row r="208" customFormat="false" ht="14.25" hidden="false" customHeight="false" outlineLevel="0" collapsed="false">
      <c r="A208" s="108" t="n">
        <v>228</v>
      </c>
      <c r="B208" s="109" t="s">
        <v>841</v>
      </c>
      <c r="D208" s="109" t="s">
        <v>717</v>
      </c>
      <c r="E208" s="109" t="s">
        <v>842</v>
      </c>
      <c r="G208" s="109" t="n">
        <v>691359292</v>
      </c>
      <c r="H208" s="109" t="n">
        <v>695754678</v>
      </c>
    </row>
    <row r="209" customFormat="false" ht="14.25" hidden="false" customHeight="false" outlineLevel="0" collapsed="false">
      <c r="A209" s="108" t="n">
        <v>229</v>
      </c>
      <c r="B209" s="109" t="s">
        <v>843</v>
      </c>
      <c r="D209" s="109" t="s">
        <v>717</v>
      </c>
      <c r="E209" s="109" t="s">
        <v>728</v>
      </c>
      <c r="H209" s="109" t="n">
        <v>699171752</v>
      </c>
    </row>
    <row r="210" customFormat="false" ht="14.25" hidden="false" customHeight="false" outlineLevel="0" collapsed="false">
      <c r="A210" s="108" t="n">
        <v>230</v>
      </c>
      <c r="B210" s="109" t="s">
        <v>844</v>
      </c>
      <c r="D210" s="109" t="s">
        <v>717</v>
      </c>
      <c r="E210" s="109" t="s">
        <v>814</v>
      </c>
      <c r="H210" s="109" t="n">
        <v>682996604</v>
      </c>
    </row>
    <row r="211" customFormat="false" ht="14.25" hidden="false" customHeight="false" outlineLevel="0" collapsed="false">
      <c r="A211" s="108" t="n">
        <v>231</v>
      </c>
      <c r="B211" s="109" t="s">
        <v>845</v>
      </c>
      <c r="D211" s="109" t="s">
        <v>717</v>
      </c>
      <c r="E211" s="109" t="s">
        <v>558</v>
      </c>
      <c r="H211" s="109" t="n">
        <v>699881586</v>
      </c>
    </row>
    <row r="212" customFormat="false" ht="14.25" hidden="false" customHeight="false" outlineLevel="0" collapsed="false">
      <c r="A212" s="108" t="n">
        <v>232</v>
      </c>
      <c r="B212" s="109" t="s">
        <v>846</v>
      </c>
      <c r="D212" s="109" t="s">
        <v>717</v>
      </c>
      <c r="E212" s="109" t="s">
        <v>728</v>
      </c>
      <c r="H212" s="109" t="n">
        <v>696769622</v>
      </c>
    </row>
    <row r="213" customFormat="false" ht="14.25" hidden="false" customHeight="false" outlineLevel="0" collapsed="false">
      <c r="A213" s="108" t="n">
        <v>233</v>
      </c>
      <c r="B213" s="109" t="s">
        <v>847</v>
      </c>
      <c r="D213" s="109" t="s">
        <v>717</v>
      </c>
      <c r="E213" s="109" t="s">
        <v>728</v>
      </c>
      <c r="H213" s="109" t="n">
        <v>677433383</v>
      </c>
    </row>
    <row r="214" customFormat="false" ht="14.25" hidden="false" customHeight="false" outlineLevel="0" collapsed="false">
      <c r="A214" s="108" t="n">
        <v>234</v>
      </c>
      <c r="B214" s="109" t="s">
        <v>848</v>
      </c>
      <c r="D214" s="109" t="s">
        <v>717</v>
      </c>
      <c r="E214" s="109" t="s">
        <v>558</v>
      </c>
      <c r="H214" s="109" t="n">
        <v>693749210</v>
      </c>
    </row>
    <row r="215" customFormat="false" ht="14.25" hidden="false" customHeight="false" outlineLevel="0" collapsed="false">
      <c r="A215" s="108" t="n">
        <v>235</v>
      </c>
      <c r="B215" s="109" t="s">
        <v>849</v>
      </c>
      <c r="D215" s="109" t="s">
        <v>717</v>
      </c>
      <c r="E215" s="109" t="s">
        <v>728</v>
      </c>
      <c r="H215" s="109" t="n">
        <v>691011273</v>
      </c>
    </row>
    <row r="216" customFormat="false" ht="14.25" hidden="false" customHeight="false" outlineLevel="0" collapsed="false">
      <c r="A216" s="108" t="n">
        <v>236</v>
      </c>
      <c r="B216" s="109" t="s">
        <v>850</v>
      </c>
      <c r="D216" s="109" t="s">
        <v>717</v>
      </c>
      <c r="E216" s="109" t="s">
        <v>558</v>
      </c>
      <c r="H216" s="109" t="n">
        <v>677017676</v>
      </c>
    </row>
    <row r="217" customFormat="false" ht="14.25" hidden="false" customHeight="false" outlineLevel="0" collapsed="false">
      <c r="A217" s="108" t="n">
        <v>237</v>
      </c>
      <c r="B217" s="109" t="s">
        <v>204</v>
      </c>
      <c r="D217" s="109" t="s">
        <v>717</v>
      </c>
      <c r="E217" s="109" t="s">
        <v>814</v>
      </c>
      <c r="H217" s="109" t="n">
        <v>674875721</v>
      </c>
    </row>
    <row r="218" customFormat="false" ht="14.25" hidden="false" customHeight="false" outlineLevel="0" collapsed="false">
      <c r="A218" s="108" t="n">
        <v>238</v>
      </c>
      <c r="B218" s="109" t="s">
        <v>851</v>
      </c>
      <c r="D218" s="109" t="s">
        <v>717</v>
      </c>
      <c r="E218" s="109" t="s">
        <v>728</v>
      </c>
    </row>
    <row r="219" customFormat="false" ht="14.25" hidden="false" customHeight="false" outlineLevel="0" collapsed="false">
      <c r="A219" s="108" t="n">
        <v>239</v>
      </c>
      <c r="B219" s="109" t="s">
        <v>852</v>
      </c>
      <c r="D219" s="109" t="s">
        <v>717</v>
      </c>
      <c r="E219" s="109" t="s">
        <v>814</v>
      </c>
    </row>
    <row r="220" customFormat="false" ht="14.25" hidden="false" customHeight="false" outlineLevel="0" collapsed="false">
      <c r="A220" s="108" t="n">
        <v>240</v>
      </c>
      <c r="B220" s="109" t="s">
        <v>853</v>
      </c>
      <c r="D220" s="109" t="s">
        <v>717</v>
      </c>
      <c r="E220" s="109" t="s">
        <v>728</v>
      </c>
    </row>
    <row r="221" customFormat="false" ht="14.25" hidden="false" customHeight="false" outlineLevel="0" collapsed="false">
      <c r="A221" s="108" t="n">
        <v>241</v>
      </c>
      <c r="B221" s="109" t="s">
        <v>854</v>
      </c>
      <c r="D221" s="109" t="s">
        <v>717</v>
      </c>
      <c r="E221" s="109" t="s">
        <v>782</v>
      </c>
    </row>
    <row r="222" customFormat="false" ht="14.25" hidden="false" customHeight="false" outlineLevel="0" collapsed="false">
      <c r="A222" s="108" t="n">
        <v>242</v>
      </c>
      <c r="B222" s="109" t="s">
        <v>271</v>
      </c>
      <c r="D222" s="109" t="s">
        <v>717</v>
      </c>
      <c r="E222" s="109" t="s">
        <v>558</v>
      </c>
    </row>
    <row r="223" customFormat="false" ht="14.25" hidden="false" customHeight="false" outlineLevel="0" collapsed="false">
      <c r="A223" s="108" t="n">
        <v>243</v>
      </c>
      <c r="B223" s="109" t="s">
        <v>855</v>
      </c>
      <c r="D223" s="109" t="s">
        <v>717</v>
      </c>
      <c r="E223" s="109" t="s">
        <v>728</v>
      </c>
      <c r="H223" s="109" t="n">
        <v>674384189</v>
      </c>
    </row>
    <row r="224" customFormat="false" ht="14.25" hidden="false" customHeight="false" outlineLevel="0" collapsed="false">
      <c r="A224" s="108" t="n">
        <v>244</v>
      </c>
      <c r="B224" s="109" t="s">
        <v>856</v>
      </c>
      <c r="D224" s="109" t="s">
        <v>717</v>
      </c>
      <c r="E224" s="109" t="s">
        <v>814</v>
      </c>
    </row>
    <row r="225" customFormat="false" ht="14.25" hidden="false" customHeight="false" outlineLevel="0" collapsed="false">
      <c r="A225" s="108" t="n">
        <v>245</v>
      </c>
      <c r="B225" s="109" t="s">
        <v>857</v>
      </c>
      <c r="D225" s="109" t="s">
        <v>717</v>
      </c>
      <c r="E225" s="109" t="s">
        <v>814</v>
      </c>
    </row>
    <row r="226" customFormat="false" ht="14.25" hidden="false" customHeight="false" outlineLevel="0" collapsed="false">
      <c r="A226" s="108" t="n">
        <v>246</v>
      </c>
      <c r="B226" s="109" t="s">
        <v>858</v>
      </c>
      <c r="D226" s="109" t="s">
        <v>717</v>
      </c>
      <c r="E226" s="109" t="s">
        <v>728</v>
      </c>
    </row>
    <row r="227" customFormat="false" ht="14.25" hidden="false" customHeight="false" outlineLevel="0" collapsed="false">
      <c r="A227" s="108" t="n">
        <v>247</v>
      </c>
      <c r="B227" s="109" t="s">
        <v>859</v>
      </c>
    </row>
    <row r="228" customFormat="false" ht="14.25" hidden="false" customHeight="false" outlineLevel="0" collapsed="false">
      <c r="A228" s="108" t="n">
        <v>248</v>
      </c>
      <c r="B228" s="109" t="s">
        <v>860</v>
      </c>
      <c r="D228" s="109" t="s">
        <v>717</v>
      </c>
      <c r="E228" s="109" t="s">
        <v>814</v>
      </c>
      <c r="G228" s="109" t="n">
        <v>665000029</v>
      </c>
      <c r="H228" s="109" t="s">
        <v>861</v>
      </c>
    </row>
    <row r="229" customFormat="false" ht="14.25" hidden="false" customHeight="false" outlineLevel="0" collapsed="false">
      <c r="A229" s="108" t="n">
        <v>249</v>
      </c>
      <c r="B229" s="109" t="s">
        <v>862</v>
      </c>
      <c r="D229" s="109" t="s">
        <v>717</v>
      </c>
      <c r="E229" s="109" t="s">
        <v>558</v>
      </c>
      <c r="H229" s="109" t="n">
        <v>233232</v>
      </c>
    </row>
    <row r="230" customFormat="false" ht="14.25" hidden="false" customHeight="false" outlineLevel="0" collapsed="false">
      <c r="A230" s="108" t="n">
        <v>250</v>
      </c>
      <c r="B230" s="109" t="s">
        <v>863</v>
      </c>
      <c r="D230" s="109" t="s">
        <v>717</v>
      </c>
      <c r="E230" s="109" t="s">
        <v>558</v>
      </c>
      <c r="H230" s="109" t="n">
        <v>1331</v>
      </c>
    </row>
    <row r="231" customFormat="false" ht="14.25" hidden="false" customHeight="false" outlineLevel="0" collapsed="false">
      <c r="A231" s="108" t="n">
        <v>251</v>
      </c>
      <c r="B231" s="109" t="s">
        <v>864</v>
      </c>
      <c r="D231" s="109" t="s">
        <v>717</v>
      </c>
      <c r="E231" s="109" t="s">
        <v>558</v>
      </c>
      <c r="H231" s="109" t="n">
        <v>131313</v>
      </c>
    </row>
    <row r="232" customFormat="false" ht="14.25" hidden="false" customHeight="false" outlineLevel="0" collapsed="false">
      <c r="A232" s="108" t="n">
        <v>252</v>
      </c>
      <c r="B232" s="109" t="s">
        <v>530</v>
      </c>
      <c r="D232" s="109" t="s">
        <v>717</v>
      </c>
      <c r="E232" s="109" t="s">
        <v>558</v>
      </c>
      <c r="H232" s="109" t="n">
        <v>222237914</v>
      </c>
    </row>
    <row r="233" customFormat="false" ht="14.25" hidden="false" customHeight="false" outlineLevel="0" collapsed="false">
      <c r="A233" s="108" t="n">
        <v>253</v>
      </c>
      <c r="B233" s="109" t="s">
        <v>126</v>
      </c>
      <c r="D233" s="109" t="s">
        <v>717</v>
      </c>
      <c r="E233" s="109" t="s">
        <v>558</v>
      </c>
    </row>
    <row r="234" customFormat="false" ht="14.25" hidden="false" customHeight="false" outlineLevel="0" collapsed="false">
      <c r="A234" s="108" t="n">
        <v>254</v>
      </c>
      <c r="B234" s="109" t="s">
        <v>865</v>
      </c>
      <c r="D234" s="109" t="s">
        <v>717</v>
      </c>
      <c r="E234" s="109" t="s">
        <v>558</v>
      </c>
    </row>
    <row r="235" customFormat="false" ht="14.25" hidden="false" customHeight="false" outlineLevel="0" collapsed="false">
      <c r="A235" s="108" t="n">
        <v>255</v>
      </c>
      <c r="B235" s="109" t="s">
        <v>866</v>
      </c>
      <c r="D235" s="109" t="s">
        <v>717</v>
      </c>
      <c r="E235" s="109" t="s">
        <v>558</v>
      </c>
      <c r="G235" s="109" t="n">
        <v>673908552</v>
      </c>
      <c r="H235" s="109" t="n">
        <v>242718232</v>
      </c>
    </row>
    <row r="236" customFormat="false" ht="14.25" hidden="false" customHeight="false" outlineLevel="0" collapsed="false">
      <c r="A236" s="108" t="n">
        <v>256</v>
      </c>
      <c r="B236" s="109" t="s">
        <v>867</v>
      </c>
      <c r="D236" s="109" t="s">
        <v>717</v>
      </c>
      <c r="E236" s="109" t="s">
        <v>558</v>
      </c>
      <c r="H236" s="109" t="n">
        <v>24370</v>
      </c>
    </row>
    <row r="237" customFormat="false" ht="14.25" hidden="false" customHeight="false" outlineLevel="0" collapsed="false">
      <c r="A237" s="108" t="n">
        <v>257</v>
      </c>
      <c r="B237" s="109" t="s">
        <v>145</v>
      </c>
      <c r="D237" s="109" t="s">
        <v>717</v>
      </c>
      <c r="E237" s="109" t="s">
        <v>558</v>
      </c>
      <c r="H237" s="109" t="n">
        <v>24370</v>
      </c>
    </row>
    <row r="238" customFormat="false" ht="14.25" hidden="false" customHeight="false" outlineLevel="0" collapsed="false">
      <c r="A238" s="108" t="n">
        <v>258</v>
      </c>
      <c r="B238" s="109" t="s">
        <v>868</v>
      </c>
      <c r="D238" s="109" t="s">
        <v>717</v>
      </c>
      <c r="E238" s="109" t="s">
        <v>558</v>
      </c>
      <c r="H238" s="109" t="n">
        <v>24370</v>
      </c>
    </row>
    <row r="239" customFormat="false" ht="14.25" hidden="false" customHeight="false" outlineLevel="0" collapsed="false">
      <c r="A239" s="108" t="n">
        <v>259</v>
      </c>
      <c r="B239" s="109" t="s">
        <v>869</v>
      </c>
      <c r="D239" s="109" t="s">
        <v>717</v>
      </c>
      <c r="E239" s="109" t="s">
        <v>558</v>
      </c>
      <c r="H239" s="109" t="n">
        <v>22552</v>
      </c>
    </row>
    <row r="240" customFormat="false" ht="14.25" hidden="false" customHeight="false" outlineLevel="0" collapsed="false">
      <c r="A240" s="108" t="n">
        <v>260</v>
      </c>
      <c r="B240" s="109" t="s">
        <v>870</v>
      </c>
      <c r="D240" s="109" t="s">
        <v>717</v>
      </c>
      <c r="E240" s="109" t="s">
        <v>558</v>
      </c>
      <c r="H240" s="109" t="n">
        <v>24370</v>
      </c>
    </row>
    <row r="241" customFormat="false" ht="14.25" hidden="false" customHeight="false" outlineLevel="0" collapsed="false">
      <c r="A241" s="108" t="n">
        <v>261</v>
      </c>
      <c r="B241" s="109" t="s">
        <v>871</v>
      </c>
      <c r="D241" s="109" t="s">
        <v>717</v>
      </c>
      <c r="E241" s="109" t="s">
        <v>558</v>
      </c>
      <c r="H241" s="109" t="n">
        <v>24370</v>
      </c>
    </row>
    <row r="242" customFormat="false" ht="14.25" hidden="false" customHeight="false" outlineLevel="0" collapsed="false">
      <c r="A242" s="108" t="n">
        <v>262</v>
      </c>
      <c r="B242" s="109" t="s">
        <v>872</v>
      </c>
      <c r="D242" s="109" t="s">
        <v>717</v>
      </c>
      <c r="E242" s="109" t="s">
        <v>558</v>
      </c>
      <c r="H242" s="109" t="n">
        <v>24370</v>
      </c>
    </row>
    <row r="243" customFormat="false" ht="14.25" hidden="false" customHeight="false" outlineLevel="0" collapsed="false">
      <c r="A243" s="108" t="n">
        <v>263</v>
      </c>
      <c r="B243" s="109" t="s">
        <v>112</v>
      </c>
      <c r="D243" s="109" t="s">
        <v>717</v>
      </c>
      <c r="E243" s="109" t="s">
        <v>558</v>
      </c>
    </row>
    <row r="244" customFormat="false" ht="14.25" hidden="false" customHeight="false" outlineLevel="0" collapsed="false">
      <c r="A244" s="108" t="n">
        <v>264</v>
      </c>
      <c r="D244" s="109" t="s">
        <v>717</v>
      </c>
      <c r="E244" s="109" t="s">
        <v>873</v>
      </c>
      <c r="H244" s="109" t="n">
        <v>24370</v>
      </c>
    </row>
    <row r="245" customFormat="false" ht="14.25" hidden="false" customHeight="false" outlineLevel="0" collapsed="false">
      <c r="A245" s="108" t="n">
        <v>265</v>
      </c>
      <c r="B245" s="109" t="s">
        <v>874</v>
      </c>
      <c r="D245" s="109" t="s">
        <v>717</v>
      </c>
      <c r="E245" s="109" t="s">
        <v>558</v>
      </c>
      <c r="H245" s="109" t="n">
        <v>131313</v>
      </c>
    </row>
    <row r="246" customFormat="false" ht="14.25" hidden="false" customHeight="false" outlineLevel="0" collapsed="false">
      <c r="A246" s="108" t="n">
        <v>266</v>
      </c>
      <c r="B246" s="109" t="s">
        <v>875</v>
      </c>
      <c r="D246" s="109" t="s">
        <v>717</v>
      </c>
      <c r="E246" s="109" t="s">
        <v>558</v>
      </c>
      <c r="H246" s="109" t="n">
        <v>131313</v>
      </c>
    </row>
    <row r="247" customFormat="false" ht="14.25" hidden="false" customHeight="false" outlineLevel="0" collapsed="false">
      <c r="A247" s="108" t="n">
        <v>267</v>
      </c>
      <c r="B247" s="109" t="s">
        <v>876</v>
      </c>
      <c r="D247" s="109" t="s">
        <v>717</v>
      </c>
      <c r="E247" s="109" t="s">
        <v>558</v>
      </c>
      <c r="H247" s="109" t="n">
        <v>131313</v>
      </c>
    </row>
    <row r="248" customFormat="false" ht="14.25" hidden="false" customHeight="false" outlineLevel="0" collapsed="false">
      <c r="A248" s="108" t="n">
        <v>268</v>
      </c>
      <c r="B248" s="109" t="s">
        <v>877</v>
      </c>
      <c r="D248" s="109" t="s">
        <v>717</v>
      </c>
      <c r="E248" s="109" t="s">
        <v>558</v>
      </c>
      <c r="H248" s="109" t="s">
        <v>878</v>
      </c>
    </row>
    <row r="249" customFormat="false" ht="14.25" hidden="false" customHeight="false" outlineLevel="0" collapsed="false">
      <c r="A249" s="108" t="n">
        <v>269</v>
      </c>
      <c r="B249" s="109" t="s">
        <v>879</v>
      </c>
      <c r="D249" s="109" t="s">
        <v>717</v>
      </c>
      <c r="E249" s="109" t="s">
        <v>558</v>
      </c>
      <c r="H249" s="109" t="n">
        <v>6456465</v>
      </c>
    </row>
    <row r="250" customFormat="false" ht="14.25" hidden="false" customHeight="false" outlineLevel="0" collapsed="false">
      <c r="A250" s="108" t="n">
        <v>270</v>
      </c>
      <c r="B250" s="109" t="s">
        <v>880</v>
      </c>
      <c r="D250" s="109" t="s">
        <v>717</v>
      </c>
      <c r="E250" s="109" t="s">
        <v>558</v>
      </c>
      <c r="H250" s="109" t="n">
        <v>24370</v>
      </c>
    </row>
    <row r="251" customFormat="false" ht="14.25" hidden="false" customHeight="false" outlineLevel="0" collapsed="false">
      <c r="A251" s="108" t="n">
        <v>271</v>
      </c>
      <c r="B251" s="109" t="s">
        <v>881</v>
      </c>
      <c r="D251" s="109" t="s">
        <v>717</v>
      </c>
      <c r="E251" s="109" t="s">
        <v>558</v>
      </c>
      <c r="H251" s="109" t="n">
        <v>24370</v>
      </c>
    </row>
    <row r="252" customFormat="false" ht="14.25" hidden="false" customHeight="false" outlineLevel="0" collapsed="false">
      <c r="A252" s="108" t="n">
        <v>272</v>
      </c>
      <c r="B252" s="109" t="s">
        <v>316</v>
      </c>
      <c r="D252" s="109" t="s">
        <v>717</v>
      </c>
      <c r="E252" s="109" t="s">
        <v>814</v>
      </c>
      <c r="H252" s="109" t="n">
        <v>24370</v>
      </c>
    </row>
    <row r="253" customFormat="false" ht="14.25" hidden="false" customHeight="false" outlineLevel="0" collapsed="false">
      <c r="A253" s="108" t="n">
        <v>273</v>
      </c>
      <c r="B253" s="109" t="s">
        <v>882</v>
      </c>
      <c r="D253" s="109" t="s">
        <v>717</v>
      </c>
      <c r="E253" s="109" t="s">
        <v>558</v>
      </c>
      <c r="H253" s="109" t="n">
        <v>24370</v>
      </c>
    </row>
    <row r="254" customFormat="false" ht="14.25" hidden="false" customHeight="false" outlineLevel="0" collapsed="false">
      <c r="A254" s="108" t="n">
        <v>274</v>
      </c>
      <c r="B254" s="109" t="s">
        <v>883</v>
      </c>
      <c r="D254" s="109" t="s">
        <v>717</v>
      </c>
      <c r="E254" s="109" t="s">
        <v>558</v>
      </c>
      <c r="H254" s="109" t="n">
        <v>131313</v>
      </c>
    </row>
    <row r="255" customFormat="false" ht="14.25" hidden="false" customHeight="false" outlineLevel="0" collapsed="false">
      <c r="A255" s="108" t="n">
        <v>275</v>
      </c>
      <c r="B255" s="109" t="s">
        <v>884</v>
      </c>
      <c r="D255" s="109" t="s">
        <v>717</v>
      </c>
      <c r="E255" s="109" t="s">
        <v>558</v>
      </c>
      <c r="H255" s="109" t="n">
        <v>24370</v>
      </c>
    </row>
    <row r="256" customFormat="false" ht="14.25" hidden="false" customHeight="false" outlineLevel="0" collapsed="false">
      <c r="A256" s="108" t="n">
        <v>276</v>
      </c>
      <c r="B256" s="109" t="s">
        <v>885</v>
      </c>
      <c r="D256" s="109" t="s">
        <v>717</v>
      </c>
      <c r="E256" s="109" t="s">
        <v>558</v>
      </c>
      <c r="H256" s="109" t="n">
        <v>131313</v>
      </c>
    </row>
    <row r="257" customFormat="false" ht="14.25" hidden="false" customHeight="false" outlineLevel="0" collapsed="false">
      <c r="A257" s="108" t="n">
        <v>277</v>
      </c>
      <c r="B257" s="109" t="s">
        <v>886</v>
      </c>
      <c r="D257" s="109" t="s">
        <v>717</v>
      </c>
      <c r="E257" s="109" t="s">
        <v>558</v>
      </c>
      <c r="H257" s="109" t="n">
        <v>691939390</v>
      </c>
    </row>
    <row r="258" customFormat="false" ht="14.25" hidden="false" customHeight="false" outlineLevel="0" collapsed="false">
      <c r="A258" s="108" t="n">
        <v>278</v>
      </c>
      <c r="B258" s="109" t="s">
        <v>887</v>
      </c>
      <c r="D258" s="109" t="s">
        <v>717</v>
      </c>
      <c r="E258" s="109" t="s">
        <v>558</v>
      </c>
      <c r="G258" s="109" t="n">
        <v>674750080</v>
      </c>
      <c r="H258" s="109" t="n">
        <v>677818328</v>
      </c>
    </row>
    <row r="259" customFormat="false" ht="14.25" hidden="false" customHeight="false" outlineLevel="0" collapsed="false">
      <c r="A259" s="108" t="n">
        <v>279</v>
      </c>
      <c r="B259" s="109" t="s">
        <v>888</v>
      </c>
      <c r="D259" s="109" t="s">
        <v>717</v>
      </c>
      <c r="E259" s="109" t="s">
        <v>558</v>
      </c>
      <c r="H259" s="109" t="n">
        <v>677</v>
      </c>
    </row>
    <row r="260" customFormat="false" ht="14.25" hidden="false" customHeight="false" outlineLevel="0" collapsed="false">
      <c r="A260" s="108" t="n">
        <v>280</v>
      </c>
      <c r="B260" s="109" t="s">
        <v>889</v>
      </c>
      <c r="D260" s="109" t="s">
        <v>717</v>
      </c>
      <c r="E260" s="109" t="s">
        <v>558</v>
      </c>
      <c r="H260" s="109" t="s">
        <v>890</v>
      </c>
    </row>
    <row r="261" customFormat="false" ht="14.25" hidden="false" customHeight="false" outlineLevel="0" collapsed="false">
      <c r="A261" s="108" t="n">
        <v>281</v>
      </c>
      <c r="B261" s="109" t="s">
        <v>891</v>
      </c>
      <c r="D261" s="109" t="s">
        <v>717</v>
      </c>
      <c r="E261" s="109" t="s">
        <v>558</v>
      </c>
      <c r="H261" s="109" t="n">
        <v>233426900</v>
      </c>
    </row>
    <row r="262" customFormat="false" ht="14.25" hidden="false" customHeight="false" outlineLevel="0" collapsed="false">
      <c r="A262" s="108" t="n">
        <v>282</v>
      </c>
      <c r="B262" s="109" t="s">
        <v>491</v>
      </c>
      <c r="D262" s="109" t="s">
        <v>717</v>
      </c>
      <c r="E262" s="109" t="s">
        <v>558</v>
      </c>
      <c r="H262" s="109" t="n">
        <v>6777</v>
      </c>
    </row>
    <row r="263" customFormat="false" ht="14.25" hidden="false" customHeight="false" outlineLevel="0" collapsed="false">
      <c r="A263" s="108" t="n">
        <v>283</v>
      </c>
      <c r="B263" s="109" t="s">
        <v>892</v>
      </c>
      <c r="D263" s="109" t="s">
        <v>717</v>
      </c>
      <c r="E263" s="109" t="s">
        <v>558</v>
      </c>
      <c r="H263" s="109" t="n">
        <v>222231889</v>
      </c>
    </row>
    <row r="264" customFormat="false" ht="14.25" hidden="false" customHeight="false" outlineLevel="0" collapsed="false">
      <c r="A264" s="108" t="n">
        <v>284</v>
      </c>
      <c r="B264" s="109" t="s">
        <v>893</v>
      </c>
      <c r="D264" s="109" t="s">
        <v>717</v>
      </c>
      <c r="E264" s="109" t="s">
        <v>558</v>
      </c>
      <c r="H264" s="109" t="n">
        <v>222228232</v>
      </c>
    </row>
    <row r="265" customFormat="false" ht="14.25" hidden="false" customHeight="false" outlineLevel="0" collapsed="false">
      <c r="A265" s="108" t="n">
        <v>285</v>
      </c>
      <c r="B265" s="109" t="s">
        <v>336</v>
      </c>
      <c r="D265" s="109" t="s">
        <v>717</v>
      </c>
      <c r="E265" s="109" t="s">
        <v>558</v>
      </c>
      <c r="H265" s="109" t="s">
        <v>894</v>
      </c>
    </row>
    <row r="266" customFormat="false" ht="14.25" hidden="false" customHeight="false" outlineLevel="0" collapsed="false">
      <c r="A266" s="108" t="n">
        <v>286</v>
      </c>
      <c r="B266" s="109" t="s">
        <v>895</v>
      </c>
      <c r="D266" s="109" t="s">
        <v>717</v>
      </c>
      <c r="E266" s="109" t="s">
        <v>558</v>
      </c>
      <c r="H266" s="109" t="s">
        <v>896</v>
      </c>
    </row>
    <row r="267" customFormat="false" ht="14.25" hidden="false" customHeight="false" outlineLevel="0" collapsed="false">
      <c r="A267" s="108" t="n">
        <v>287</v>
      </c>
      <c r="B267" s="109" t="s">
        <v>480</v>
      </c>
      <c r="D267" s="109" t="s">
        <v>717</v>
      </c>
      <c r="E267" s="109" t="s">
        <v>558</v>
      </c>
      <c r="H267" s="109" t="s">
        <v>897</v>
      </c>
    </row>
    <row r="268" customFormat="false" ht="14.25" hidden="false" customHeight="false" outlineLevel="0" collapsed="false">
      <c r="A268" s="108" t="n">
        <v>288</v>
      </c>
      <c r="B268" s="109" t="s">
        <v>898</v>
      </c>
      <c r="D268" s="109" t="s">
        <v>717</v>
      </c>
      <c r="E268" s="109" t="s">
        <v>558</v>
      </c>
      <c r="G268" s="109" t="n">
        <v>651552535</v>
      </c>
      <c r="H268" s="109" t="n">
        <v>33437276</v>
      </c>
    </row>
    <row r="269" customFormat="false" ht="14.25" hidden="false" customHeight="false" outlineLevel="0" collapsed="false">
      <c r="A269" s="108" t="n">
        <v>289</v>
      </c>
      <c r="B269" s="109" t="s">
        <v>899</v>
      </c>
      <c r="D269" s="109" t="s">
        <v>717</v>
      </c>
      <c r="E269" s="109" t="s">
        <v>558</v>
      </c>
      <c r="H269" s="109" t="n">
        <v>678239756</v>
      </c>
    </row>
    <row r="270" customFormat="false" ht="14.25" hidden="false" customHeight="false" outlineLevel="0" collapsed="false">
      <c r="A270" s="108" t="n">
        <v>290</v>
      </c>
      <c r="B270" s="109" t="s">
        <v>900</v>
      </c>
      <c r="D270" s="109" t="s">
        <v>717</v>
      </c>
      <c r="E270" s="109" t="s">
        <v>558</v>
      </c>
      <c r="H270" s="109" t="n">
        <v>679168212</v>
      </c>
    </row>
    <row r="271" customFormat="false" ht="14.25" hidden="false" customHeight="false" outlineLevel="0" collapsed="false">
      <c r="A271" s="108" t="n">
        <v>291</v>
      </c>
      <c r="B271" s="109" t="s">
        <v>901</v>
      </c>
      <c r="D271" s="109" t="s">
        <v>717</v>
      </c>
      <c r="E271" s="109" t="s">
        <v>558</v>
      </c>
      <c r="H271" s="109" t="n">
        <v>677595623</v>
      </c>
    </row>
    <row r="272" customFormat="false" ht="14.25" hidden="false" customHeight="false" outlineLevel="0" collapsed="false">
      <c r="A272" s="108" t="n">
        <v>292</v>
      </c>
      <c r="B272" s="109" t="s">
        <v>902</v>
      </c>
      <c r="D272" s="109" t="s">
        <v>717</v>
      </c>
      <c r="E272" s="109" t="s">
        <v>558</v>
      </c>
      <c r="H272" s="109" t="n">
        <v>235561</v>
      </c>
    </row>
    <row r="273" customFormat="false" ht="14.25" hidden="false" customHeight="false" outlineLevel="0" collapsed="false">
      <c r="A273" s="108" t="n">
        <v>293</v>
      </c>
      <c r="B273" s="109" t="s">
        <v>903</v>
      </c>
      <c r="D273" s="109" t="s">
        <v>717</v>
      </c>
      <c r="E273" s="109" t="s">
        <v>558</v>
      </c>
      <c r="H273" s="109" t="n">
        <v>679100212</v>
      </c>
    </row>
    <row r="274" customFormat="false" ht="14.25" hidden="false" customHeight="false" outlineLevel="0" collapsed="false">
      <c r="A274" s="108" t="n">
        <v>294</v>
      </c>
      <c r="B274" s="109" t="s">
        <v>904</v>
      </c>
      <c r="D274" s="109" t="s">
        <v>717</v>
      </c>
      <c r="E274" s="109" t="s">
        <v>558</v>
      </c>
      <c r="G274" s="109" t="n">
        <v>670040067</v>
      </c>
      <c r="H274" s="109" t="n">
        <v>672670210</v>
      </c>
    </row>
    <row r="275" customFormat="false" ht="14.25" hidden="false" customHeight="false" outlineLevel="0" collapsed="false">
      <c r="A275" s="108" t="n">
        <v>295</v>
      </c>
      <c r="B275" s="109" t="s">
        <v>905</v>
      </c>
      <c r="D275" s="109" t="s">
        <v>717</v>
      </c>
      <c r="E275" s="109" t="s">
        <v>728</v>
      </c>
      <c r="H275" s="109" t="n">
        <v>696030222</v>
      </c>
    </row>
    <row r="276" customFormat="false" ht="14.25" hidden="false" customHeight="false" outlineLevel="0" collapsed="false">
      <c r="A276" s="108" t="n">
        <v>296</v>
      </c>
      <c r="B276" s="109" t="s">
        <v>906</v>
      </c>
      <c r="D276" s="109" t="s">
        <v>717</v>
      </c>
      <c r="E276" s="109" t="s">
        <v>558</v>
      </c>
      <c r="H276" s="109" t="n">
        <v>233470047</v>
      </c>
    </row>
    <row r="277" customFormat="false" ht="14.25" hidden="false" customHeight="false" outlineLevel="0" collapsed="false">
      <c r="A277" s="108" t="n">
        <v>297</v>
      </c>
      <c r="B277" s="109" t="s">
        <v>172</v>
      </c>
      <c r="D277" s="109" t="s">
        <v>717</v>
      </c>
      <c r="E277" s="109" t="s">
        <v>558</v>
      </c>
      <c r="H277" s="109" t="n">
        <v>693341302</v>
      </c>
    </row>
    <row r="278" customFormat="false" ht="14.25" hidden="false" customHeight="false" outlineLevel="0" collapsed="false">
      <c r="A278" s="108" t="n">
        <v>298</v>
      </c>
      <c r="B278" s="109" t="s">
        <v>907</v>
      </c>
      <c r="D278" s="109" t="s">
        <v>717</v>
      </c>
      <c r="E278" s="109" t="s">
        <v>558</v>
      </c>
      <c r="H278" s="109" t="n">
        <v>233520002</v>
      </c>
    </row>
    <row r="279" customFormat="false" ht="14.25" hidden="false" customHeight="false" outlineLevel="0" collapsed="false">
      <c r="A279" s="108" t="n">
        <v>299</v>
      </c>
      <c r="B279" s="109" t="s">
        <v>908</v>
      </c>
      <c r="D279" s="109" t="s">
        <v>717</v>
      </c>
      <c r="E279" s="109" t="s">
        <v>558</v>
      </c>
      <c r="H279" s="109" t="n">
        <v>672684458</v>
      </c>
    </row>
    <row r="280" customFormat="false" ht="14.25" hidden="false" customHeight="false" outlineLevel="0" collapsed="false">
      <c r="A280" s="108" t="n">
        <v>300</v>
      </c>
      <c r="B280" s="109" t="s">
        <v>909</v>
      </c>
      <c r="D280" s="109" t="s">
        <v>717</v>
      </c>
      <c r="E280" s="109" t="s">
        <v>558</v>
      </c>
      <c r="G280" s="109" t="n">
        <v>691010168</v>
      </c>
      <c r="H280" s="109" t="n">
        <v>674406568</v>
      </c>
    </row>
    <row r="281" customFormat="false" ht="14.25" hidden="false" customHeight="false" outlineLevel="0" collapsed="false">
      <c r="A281" s="108" t="n">
        <v>301</v>
      </c>
      <c r="B281" s="109" t="s">
        <v>910</v>
      </c>
      <c r="D281" s="109" t="s">
        <v>717</v>
      </c>
      <c r="E281" s="109" t="s">
        <v>558</v>
      </c>
      <c r="H281" s="109" t="n">
        <v>698597466</v>
      </c>
    </row>
    <row r="282" customFormat="false" ht="14.25" hidden="false" customHeight="false" outlineLevel="0" collapsed="false">
      <c r="A282" s="108" t="n">
        <v>302</v>
      </c>
      <c r="B282" s="109" t="s">
        <v>911</v>
      </c>
      <c r="D282" s="109" t="s">
        <v>717</v>
      </c>
      <c r="E282" s="109" t="s">
        <v>558</v>
      </c>
      <c r="G282" s="109" t="n">
        <v>673737375</v>
      </c>
      <c r="H282" s="109" t="s">
        <v>912</v>
      </c>
    </row>
    <row r="283" customFormat="false" ht="14.25" hidden="false" customHeight="false" outlineLevel="0" collapsed="false">
      <c r="A283" s="108" t="n">
        <v>303</v>
      </c>
      <c r="B283" s="109" t="s">
        <v>913</v>
      </c>
      <c r="D283" s="109" t="s">
        <v>717</v>
      </c>
      <c r="E283" s="109" t="s">
        <v>558</v>
      </c>
      <c r="H283" s="109" t="s">
        <v>914</v>
      </c>
    </row>
    <row r="284" customFormat="false" ht="14.25" hidden="false" customHeight="false" outlineLevel="0" collapsed="false">
      <c r="A284" s="108" t="n">
        <v>304</v>
      </c>
      <c r="B284" s="109" t="s">
        <v>142</v>
      </c>
      <c r="D284" s="109" t="s">
        <v>717</v>
      </c>
      <c r="E284" s="109" t="s">
        <v>558</v>
      </c>
      <c r="H284" s="109" t="n">
        <v>681033333</v>
      </c>
    </row>
    <row r="285" customFormat="false" ht="14.25" hidden="false" customHeight="false" outlineLevel="0" collapsed="false">
      <c r="A285" s="108" t="n">
        <v>305</v>
      </c>
      <c r="B285" s="109" t="s">
        <v>354</v>
      </c>
      <c r="D285" s="109" t="s">
        <v>717</v>
      </c>
      <c r="E285" s="109" t="s">
        <v>558</v>
      </c>
    </row>
    <row r="286" customFormat="false" ht="14.25" hidden="false" customHeight="false" outlineLevel="0" collapsed="false">
      <c r="A286" s="108" t="n">
        <v>306</v>
      </c>
      <c r="B286" s="109" t="s">
        <v>915</v>
      </c>
      <c r="D286" s="109" t="s">
        <v>717</v>
      </c>
      <c r="E286" s="109" t="s">
        <v>558</v>
      </c>
      <c r="H286" s="109" t="n">
        <v>698004807</v>
      </c>
    </row>
    <row r="287" customFormat="false" ht="14.25" hidden="false" customHeight="false" outlineLevel="0" collapsed="false">
      <c r="A287" s="108" t="n">
        <v>307</v>
      </c>
      <c r="B287" s="109" t="s">
        <v>916</v>
      </c>
      <c r="D287" s="109" t="s">
        <v>717</v>
      </c>
      <c r="E287" s="109" t="s">
        <v>558</v>
      </c>
      <c r="G287" s="109" t="n">
        <v>699967275</v>
      </c>
      <c r="H287" s="109" t="n">
        <v>673932373</v>
      </c>
    </row>
    <row r="288" customFormat="false" ht="14.25" hidden="false" customHeight="false" outlineLevel="0" collapsed="false">
      <c r="A288" s="108" t="n">
        <v>308</v>
      </c>
      <c r="B288" s="109" t="s">
        <v>917</v>
      </c>
      <c r="D288" s="109" t="s">
        <v>717</v>
      </c>
      <c r="E288" s="109" t="s">
        <v>558</v>
      </c>
      <c r="H288" s="109" t="n">
        <v>699761990</v>
      </c>
    </row>
    <row r="289" customFormat="false" ht="14.25" hidden="false" customHeight="false" outlineLevel="0" collapsed="false">
      <c r="A289" s="108" t="n">
        <v>309</v>
      </c>
      <c r="B289" s="109" t="s">
        <v>918</v>
      </c>
      <c r="D289" s="109" t="s">
        <v>717</v>
      </c>
      <c r="E289" s="109" t="s">
        <v>558</v>
      </c>
      <c r="H289" s="109" t="n">
        <v>696658378</v>
      </c>
    </row>
    <row r="290" customFormat="false" ht="14.25" hidden="false" customHeight="false" outlineLevel="0" collapsed="false">
      <c r="A290" s="108" t="n">
        <v>310</v>
      </c>
      <c r="B290" s="109" t="s">
        <v>919</v>
      </c>
      <c r="D290" s="109" t="s">
        <v>717</v>
      </c>
      <c r="E290" s="109" t="s">
        <v>558</v>
      </c>
      <c r="H290" s="109" t="n">
        <v>675622041</v>
      </c>
    </row>
    <row r="291" customFormat="false" ht="14.25" hidden="false" customHeight="false" outlineLevel="0" collapsed="false">
      <c r="A291" s="108" t="n">
        <v>311</v>
      </c>
      <c r="B291" s="109" t="s">
        <v>109</v>
      </c>
      <c r="D291" s="109" t="s">
        <v>717</v>
      </c>
      <c r="E291" s="109" t="s">
        <v>558</v>
      </c>
      <c r="H291" s="109" t="n">
        <v>676051609</v>
      </c>
    </row>
    <row r="292" customFormat="false" ht="14.25" hidden="false" customHeight="false" outlineLevel="0" collapsed="false">
      <c r="A292" s="108" t="n">
        <v>312</v>
      </c>
      <c r="B292" s="109" t="s">
        <v>920</v>
      </c>
      <c r="D292" s="109" t="s">
        <v>717</v>
      </c>
      <c r="E292" s="109" t="s">
        <v>558</v>
      </c>
      <c r="H292" s="109" t="n">
        <v>672168526</v>
      </c>
    </row>
    <row r="293" customFormat="false" ht="14.25" hidden="false" customHeight="false" outlineLevel="0" collapsed="false">
      <c r="A293" s="108" t="n">
        <v>313</v>
      </c>
      <c r="B293" s="109" t="s">
        <v>921</v>
      </c>
      <c r="D293" s="109" t="s">
        <v>717</v>
      </c>
      <c r="E293" s="109" t="s">
        <v>558</v>
      </c>
      <c r="H293" s="109" t="n">
        <v>659029266</v>
      </c>
    </row>
    <row r="294" customFormat="false" ht="14.25" hidden="false" customHeight="false" outlineLevel="0" collapsed="false">
      <c r="A294" s="108" t="n">
        <v>314</v>
      </c>
      <c r="B294" s="109" t="s">
        <v>319</v>
      </c>
      <c r="D294" s="109" t="s">
        <v>717</v>
      </c>
      <c r="E294" s="109" t="s">
        <v>558</v>
      </c>
      <c r="H294" s="109" t="n">
        <v>699049434</v>
      </c>
    </row>
    <row r="295" customFormat="false" ht="14.25" hidden="false" customHeight="false" outlineLevel="0" collapsed="false">
      <c r="A295" s="108" t="n">
        <v>315</v>
      </c>
      <c r="B295" s="109" t="s">
        <v>922</v>
      </c>
      <c r="D295" s="109" t="s">
        <v>717</v>
      </c>
      <c r="E295" s="109" t="s">
        <v>558</v>
      </c>
      <c r="H295" s="109" t="n">
        <v>699222251</v>
      </c>
    </row>
    <row r="296" customFormat="false" ht="14.25" hidden="false" customHeight="false" outlineLevel="0" collapsed="false">
      <c r="A296" s="108" t="n">
        <v>316</v>
      </c>
      <c r="B296" s="109" t="s">
        <v>130</v>
      </c>
      <c r="D296" s="109" t="s">
        <v>717</v>
      </c>
      <c r="E296" s="109" t="s">
        <v>558</v>
      </c>
      <c r="H296" s="109" t="n">
        <v>699807809</v>
      </c>
    </row>
    <row r="297" customFormat="false" ht="14.25" hidden="false" customHeight="false" outlineLevel="0" collapsed="false">
      <c r="A297" s="108" t="n">
        <v>317</v>
      </c>
      <c r="B297" s="109" t="s">
        <v>923</v>
      </c>
      <c r="D297" s="109" t="s">
        <v>717</v>
      </c>
      <c r="E297" s="109" t="s">
        <v>558</v>
      </c>
      <c r="H297" s="109" t="n">
        <v>654050177</v>
      </c>
    </row>
    <row r="298" customFormat="false" ht="14.25" hidden="false" customHeight="false" outlineLevel="0" collapsed="false">
      <c r="A298" s="108" t="n">
        <v>318</v>
      </c>
      <c r="B298" s="109" t="s">
        <v>207</v>
      </c>
      <c r="D298" s="109" t="s">
        <v>717</v>
      </c>
      <c r="E298" s="109" t="s">
        <v>558</v>
      </c>
      <c r="H298" s="109" t="n">
        <v>694839596</v>
      </c>
    </row>
    <row r="299" customFormat="false" ht="14.25" hidden="false" customHeight="false" outlineLevel="0" collapsed="false">
      <c r="A299" s="108" t="n">
        <v>319</v>
      </c>
      <c r="B299" s="109" t="s">
        <v>924</v>
      </c>
      <c r="D299" s="109" t="s">
        <v>717</v>
      </c>
      <c r="E299" s="109" t="s">
        <v>558</v>
      </c>
    </row>
    <row r="300" customFormat="false" ht="14.25" hidden="false" customHeight="false" outlineLevel="0" collapsed="false">
      <c r="A300" s="108" t="n">
        <v>320</v>
      </c>
      <c r="B300" s="109" t="s">
        <v>925</v>
      </c>
      <c r="D300" s="109" t="s">
        <v>717</v>
      </c>
      <c r="E300" s="109" t="s">
        <v>558</v>
      </c>
    </row>
    <row r="301" customFormat="false" ht="14.25" hidden="false" customHeight="false" outlineLevel="0" collapsed="false">
      <c r="A301" s="108" t="n">
        <v>321</v>
      </c>
      <c r="B301" s="109" t="s">
        <v>926</v>
      </c>
      <c r="D301" s="109" t="s">
        <v>717</v>
      </c>
      <c r="E301" s="109" t="s">
        <v>558</v>
      </c>
      <c r="G301" s="109" t="n">
        <v>675406026</v>
      </c>
      <c r="H301" s="109" t="n">
        <v>690054891</v>
      </c>
    </row>
    <row r="302" customFormat="false" ht="14.25" hidden="false" customHeight="false" outlineLevel="0" collapsed="false">
      <c r="A302" s="108" t="n">
        <v>322</v>
      </c>
      <c r="B302" s="109" t="s">
        <v>927</v>
      </c>
      <c r="D302" s="109" t="s">
        <v>717</v>
      </c>
      <c r="E302" s="109" t="s">
        <v>558</v>
      </c>
      <c r="H302" s="109" t="n">
        <v>697481495</v>
      </c>
    </row>
    <row r="303" customFormat="false" ht="14.25" hidden="false" customHeight="false" outlineLevel="0" collapsed="false">
      <c r="A303" s="108" t="n">
        <v>323</v>
      </c>
      <c r="B303" s="109" t="s">
        <v>928</v>
      </c>
      <c r="D303" s="109" t="s">
        <v>717</v>
      </c>
      <c r="E303" s="109" t="s">
        <v>728</v>
      </c>
    </row>
    <row r="304" customFormat="false" ht="14.25" hidden="false" customHeight="false" outlineLevel="0" collapsed="false">
      <c r="A304" s="108" t="n">
        <v>324</v>
      </c>
      <c r="B304" s="109" t="s">
        <v>929</v>
      </c>
      <c r="D304" s="109" t="s">
        <v>717</v>
      </c>
      <c r="E304" s="109" t="s">
        <v>728</v>
      </c>
    </row>
    <row r="305" customFormat="false" ht="14.25" hidden="false" customHeight="false" outlineLevel="0" collapsed="false">
      <c r="A305" s="108" t="n">
        <v>325</v>
      </c>
      <c r="B305" s="109" t="s">
        <v>930</v>
      </c>
      <c r="D305" s="109" t="s">
        <v>717</v>
      </c>
      <c r="E305" s="109" t="s">
        <v>289</v>
      </c>
      <c r="G305" s="109" t="n">
        <v>693341302</v>
      </c>
      <c r="H305" s="109" t="n">
        <v>675012954</v>
      </c>
    </row>
    <row r="306" customFormat="false" ht="14.25" hidden="false" customHeight="false" outlineLevel="0" collapsed="false">
      <c r="A306" s="108" t="n">
        <v>327</v>
      </c>
      <c r="B306" s="109" t="s">
        <v>931</v>
      </c>
      <c r="D306" s="109" t="s">
        <v>717</v>
      </c>
      <c r="E306" s="109" t="s">
        <v>814</v>
      </c>
    </row>
    <row r="307" customFormat="false" ht="14.25" hidden="false" customHeight="false" outlineLevel="0" collapsed="false">
      <c r="A307" s="108" t="n">
        <v>328</v>
      </c>
      <c r="B307" s="109" t="s">
        <v>821</v>
      </c>
      <c r="D307" s="109" t="s">
        <v>717</v>
      </c>
      <c r="E307" s="109" t="s">
        <v>932</v>
      </c>
    </row>
    <row r="308" customFormat="false" ht="14.25" hidden="false" customHeight="false" outlineLevel="0" collapsed="false">
      <c r="A308" s="108" t="n">
        <v>329</v>
      </c>
      <c r="B308" s="109" t="s">
        <v>933</v>
      </c>
      <c r="D308" s="109" t="s">
        <v>717</v>
      </c>
      <c r="E308" s="109" t="s">
        <v>934</v>
      </c>
      <c r="G308" s="109" t="n">
        <v>674515233</v>
      </c>
    </row>
    <row r="309" customFormat="false" ht="14.25" hidden="false" customHeight="false" outlineLevel="0" collapsed="false">
      <c r="A309" s="108" t="n">
        <v>330</v>
      </c>
      <c r="B309" s="109" t="s">
        <v>935</v>
      </c>
      <c r="D309" s="109" t="s">
        <v>717</v>
      </c>
      <c r="E309" s="109" t="s">
        <v>728</v>
      </c>
    </row>
    <row r="310" customFormat="false" ht="14.25" hidden="false" customHeight="false" outlineLevel="0" collapsed="false">
      <c r="A310" s="108" t="n">
        <v>331</v>
      </c>
      <c r="B310" s="109" t="s">
        <v>936</v>
      </c>
      <c r="D310" s="109" t="s">
        <v>717</v>
      </c>
      <c r="E310" s="109" t="s">
        <v>558</v>
      </c>
    </row>
    <row r="311" customFormat="false" ht="14.25" hidden="false" customHeight="false" outlineLevel="0" collapsed="false">
      <c r="A311" s="108" t="n">
        <v>332</v>
      </c>
      <c r="B311" s="109" t="s">
        <v>937</v>
      </c>
      <c r="D311" s="109" t="s">
        <v>717</v>
      </c>
      <c r="E311" s="109" t="s">
        <v>814</v>
      </c>
    </row>
    <row r="312" customFormat="false" ht="14.25" hidden="false" customHeight="false" outlineLevel="0" collapsed="false">
      <c r="A312" s="108" t="n">
        <v>333</v>
      </c>
      <c r="B312" s="109" t="s">
        <v>938</v>
      </c>
      <c r="D312" s="109" t="s">
        <v>717</v>
      </c>
      <c r="E312" s="109" t="s">
        <v>939</v>
      </c>
      <c r="G312" s="109" t="n">
        <v>698877410</v>
      </c>
      <c r="H312" s="109" t="n">
        <v>699182156</v>
      </c>
    </row>
    <row r="313" customFormat="false" ht="14.25" hidden="false" customHeight="false" outlineLevel="0" collapsed="false">
      <c r="A313" s="108" t="n">
        <v>334</v>
      </c>
      <c r="B313" s="109" t="s">
        <v>940</v>
      </c>
      <c r="D313" s="109" t="s">
        <v>717</v>
      </c>
      <c r="E313" s="109" t="s">
        <v>558</v>
      </c>
    </row>
    <row r="314" customFormat="false" ht="14.25" hidden="false" customHeight="false" outlineLevel="0" collapsed="false">
      <c r="A314" s="108" t="n">
        <v>335</v>
      </c>
      <c r="B314" s="109" t="s">
        <v>941</v>
      </c>
      <c r="D314" s="109" t="s">
        <v>717</v>
      </c>
      <c r="E314" s="109" t="s">
        <v>728</v>
      </c>
    </row>
    <row r="315" customFormat="false" ht="14.25" hidden="false" customHeight="false" outlineLevel="0" collapsed="false">
      <c r="A315" s="108" t="n">
        <v>336</v>
      </c>
      <c r="B315" s="109" t="s">
        <v>942</v>
      </c>
      <c r="D315" s="109" t="s">
        <v>717</v>
      </c>
      <c r="E315" s="109" t="s">
        <v>822</v>
      </c>
    </row>
    <row r="316" customFormat="false" ht="14.25" hidden="false" customHeight="false" outlineLevel="0" collapsed="false">
      <c r="A316" s="108" t="n">
        <v>337</v>
      </c>
      <c r="B316" s="109" t="s">
        <v>943</v>
      </c>
      <c r="D316" s="109" t="s">
        <v>717</v>
      </c>
      <c r="E316" s="109" t="s">
        <v>728</v>
      </c>
    </row>
    <row r="317" customFormat="false" ht="14.25" hidden="false" customHeight="false" outlineLevel="0" collapsed="false">
      <c r="A317" s="108" t="n">
        <v>338</v>
      </c>
      <c r="B317" s="109" t="s">
        <v>944</v>
      </c>
    </row>
    <row r="318" customFormat="false" ht="14.25" hidden="false" customHeight="false" outlineLevel="0" collapsed="false">
      <c r="A318" s="108" t="n">
        <v>339</v>
      </c>
      <c r="B318" s="109" t="s">
        <v>945</v>
      </c>
      <c r="D318" s="109" t="s">
        <v>717</v>
      </c>
      <c r="E318" s="109" t="s">
        <v>728</v>
      </c>
      <c r="G318" s="109" t="n">
        <v>233421905</v>
      </c>
      <c r="H318" s="109" t="n">
        <v>233421906</v>
      </c>
    </row>
    <row r="319" customFormat="false" ht="14.25" hidden="false" customHeight="false" outlineLevel="0" collapsed="false">
      <c r="A319" s="108" t="n">
        <v>340</v>
      </c>
      <c r="B319" s="109" t="s">
        <v>946</v>
      </c>
      <c r="D319" s="109" t="s">
        <v>717</v>
      </c>
      <c r="E319" s="109" t="s">
        <v>814</v>
      </c>
    </row>
    <row r="320" customFormat="false" ht="14.25" hidden="false" customHeight="false" outlineLevel="0" collapsed="false">
      <c r="A320" s="108" t="n">
        <v>341</v>
      </c>
      <c r="B320" s="109" t="s">
        <v>947</v>
      </c>
      <c r="D320" s="109" t="s">
        <v>717</v>
      </c>
      <c r="E320" s="109" t="s">
        <v>728</v>
      </c>
    </row>
    <row r="321" customFormat="false" ht="14.25" hidden="false" customHeight="false" outlineLevel="0" collapsed="false">
      <c r="A321" s="108" t="n">
        <v>342</v>
      </c>
      <c r="B321" s="109" t="s">
        <v>948</v>
      </c>
      <c r="D321" s="109" t="s">
        <v>717</v>
      </c>
      <c r="E321" s="109" t="s">
        <v>728</v>
      </c>
    </row>
    <row r="322" customFormat="false" ht="14.25" hidden="false" customHeight="false" outlineLevel="0" collapsed="false">
      <c r="A322" s="108" t="n">
        <v>343</v>
      </c>
      <c r="B322" s="109" t="s">
        <v>949</v>
      </c>
      <c r="D322" s="109" t="s">
        <v>717</v>
      </c>
      <c r="E322" s="109" t="s">
        <v>782</v>
      </c>
    </row>
    <row r="323" customFormat="false" ht="14.25" hidden="false" customHeight="false" outlineLevel="0" collapsed="false">
      <c r="A323" s="108" t="n">
        <v>344</v>
      </c>
      <c r="B323" s="109" t="s">
        <v>950</v>
      </c>
      <c r="D323" s="109" t="s">
        <v>717</v>
      </c>
      <c r="E323" s="109" t="s">
        <v>728</v>
      </c>
    </row>
    <row r="324" customFormat="false" ht="14.25" hidden="false" customHeight="false" outlineLevel="0" collapsed="false">
      <c r="A324" s="108" t="n">
        <v>345</v>
      </c>
      <c r="B324" s="109" t="s">
        <v>951</v>
      </c>
      <c r="D324" s="109" t="s">
        <v>717</v>
      </c>
      <c r="E324" s="109" t="s">
        <v>728</v>
      </c>
    </row>
    <row r="325" customFormat="false" ht="14.25" hidden="false" customHeight="false" outlineLevel="0" collapsed="false">
      <c r="A325" s="108" t="n">
        <v>346</v>
      </c>
      <c r="B325" s="109" t="s">
        <v>952</v>
      </c>
      <c r="D325" s="109" t="s">
        <v>717</v>
      </c>
      <c r="E325" s="109" t="s">
        <v>728</v>
      </c>
    </row>
    <row r="326" customFormat="false" ht="14.25" hidden="false" customHeight="false" outlineLevel="0" collapsed="false">
      <c r="A326" s="108" t="n">
        <v>347</v>
      </c>
      <c r="B326" s="109" t="s">
        <v>953</v>
      </c>
      <c r="D326" s="109" t="s">
        <v>717</v>
      </c>
      <c r="E326" s="109" t="s">
        <v>782</v>
      </c>
    </row>
    <row r="327" customFormat="false" ht="14.25" hidden="false" customHeight="false" outlineLevel="0" collapsed="false">
      <c r="A327" s="108" t="n">
        <v>348</v>
      </c>
      <c r="B327" s="109" t="s">
        <v>923</v>
      </c>
      <c r="D327" s="109" t="s">
        <v>717</v>
      </c>
      <c r="E327" s="109" t="s">
        <v>728</v>
      </c>
    </row>
    <row r="328" customFormat="false" ht="14.25" hidden="false" customHeight="false" outlineLevel="0" collapsed="false">
      <c r="A328" s="108" t="n">
        <v>349</v>
      </c>
      <c r="B328" s="109" t="s">
        <v>877</v>
      </c>
      <c r="D328" s="109" t="s">
        <v>717</v>
      </c>
      <c r="E328" s="109" t="s">
        <v>728</v>
      </c>
    </row>
    <row r="329" customFormat="false" ht="14.25" hidden="false" customHeight="false" outlineLevel="0" collapsed="false">
      <c r="A329" s="108" t="n">
        <v>351</v>
      </c>
      <c r="B329" s="109" t="s">
        <v>278</v>
      </c>
      <c r="D329" s="109" t="s">
        <v>717</v>
      </c>
      <c r="E329" s="109" t="s">
        <v>728</v>
      </c>
    </row>
    <row r="330" customFormat="false" ht="14.25" hidden="false" customHeight="false" outlineLevel="0" collapsed="false">
      <c r="A330" s="108" t="n">
        <v>356</v>
      </c>
      <c r="B330" s="109" t="s">
        <v>954</v>
      </c>
      <c r="D330" s="109" t="s">
        <v>717</v>
      </c>
      <c r="E330" s="109" t="s">
        <v>728</v>
      </c>
      <c r="G330" s="109" t="n">
        <v>699927313</v>
      </c>
      <c r="H330" s="109" t="n">
        <v>233431078</v>
      </c>
    </row>
    <row r="331" customFormat="false" ht="14.25" hidden="false" customHeight="false" outlineLevel="0" collapsed="false">
      <c r="A331" s="108" t="n">
        <v>357</v>
      </c>
      <c r="B331" s="109" t="s">
        <v>955</v>
      </c>
      <c r="D331" s="109" t="s">
        <v>717</v>
      </c>
      <c r="E331" s="109" t="s">
        <v>728</v>
      </c>
      <c r="G331" s="109" t="n">
        <v>677200907</v>
      </c>
      <c r="H331" s="109" t="n">
        <v>699999715</v>
      </c>
    </row>
    <row r="332" customFormat="false" ht="14.25" hidden="false" customHeight="false" outlineLevel="0" collapsed="false">
      <c r="A332" s="108" t="n">
        <v>358</v>
      </c>
      <c r="B332" s="109" t="s">
        <v>956</v>
      </c>
      <c r="D332" s="109" t="s">
        <v>717</v>
      </c>
      <c r="E332" s="109" t="s">
        <v>728</v>
      </c>
    </row>
    <row r="333" customFormat="false" ht="14.25" hidden="false" customHeight="false" outlineLevel="0" collapsed="false">
      <c r="A333" s="108" t="n">
        <v>359</v>
      </c>
      <c r="B333" s="109" t="s">
        <v>957</v>
      </c>
      <c r="D333" s="109" t="s">
        <v>717</v>
      </c>
      <c r="E333" s="109" t="s">
        <v>558</v>
      </c>
    </row>
    <row r="334" customFormat="false" ht="14.25" hidden="false" customHeight="false" outlineLevel="0" collapsed="false">
      <c r="A334" s="108" t="n">
        <v>360</v>
      </c>
      <c r="B334" s="109" t="s">
        <v>958</v>
      </c>
      <c r="D334" s="109" t="s">
        <v>717</v>
      </c>
      <c r="E334" s="109" t="s">
        <v>558</v>
      </c>
    </row>
    <row r="335" customFormat="false" ht="14.25" hidden="false" customHeight="false" outlineLevel="0" collapsed="false">
      <c r="A335" s="108" t="n">
        <v>361</v>
      </c>
      <c r="B335" s="109" t="s">
        <v>832</v>
      </c>
      <c r="D335" s="109" t="s">
        <v>717</v>
      </c>
      <c r="E335" s="109" t="s">
        <v>558</v>
      </c>
      <c r="G335" s="109" t="n">
        <v>697333614</v>
      </c>
      <c r="H335" s="109" t="n">
        <v>696671190</v>
      </c>
    </row>
    <row r="336" customFormat="false" ht="14.25" hidden="false" customHeight="false" outlineLevel="0" collapsed="false">
      <c r="A336" s="108" t="n">
        <v>362</v>
      </c>
      <c r="B336" s="109" t="s">
        <v>959</v>
      </c>
      <c r="D336" s="109" t="s">
        <v>717</v>
      </c>
      <c r="E336" s="109" t="s">
        <v>728</v>
      </c>
      <c r="G336" s="109" t="n">
        <v>670066249</v>
      </c>
      <c r="H336" s="109" t="n">
        <v>242071881</v>
      </c>
    </row>
    <row r="337" customFormat="false" ht="14.25" hidden="false" customHeight="false" outlineLevel="0" collapsed="false">
      <c r="A337" s="108" t="n">
        <v>363</v>
      </c>
      <c r="B337" s="109" t="s">
        <v>960</v>
      </c>
      <c r="D337" s="109" t="s">
        <v>717</v>
      </c>
      <c r="E337" s="109" t="s">
        <v>558</v>
      </c>
    </row>
    <row r="338" customFormat="false" ht="14.25" hidden="false" customHeight="false" outlineLevel="0" collapsed="false">
      <c r="A338" s="108" t="n">
        <v>364</v>
      </c>
      <c r="B338" s="109" t="s">
        <v>961</v>
      </c>
      <c r="D338" s="109" t="s">
        <v>717</v>
      </c>
      <c r="E338" s="109" t="s">
        <v>962</v>
      </c>
    </row>
    <row r="339" customFormat="false" ht="14.25" hidden="false" customHeight="false" outlineLevel="0" collapsed="false">
      <c r="A339" s="108" t="n">
        <v>365</v>
      </c>
      <c r="B339" s="109" t="s">
        <v>963</v>
      </c>
      <c r="D339" s="109" t="s">
        <v>717</v>
      </c>
      <c r="E339" s="109" t="s">
        <v>728</v>
      </c>
    </row>
    <row r="340" customFormat="false" ht="14.25" hidden="false" customHeight="false" outlineLevel="0" collapsed="false">
      <c r="A340" s="108" t="n">
        <v>366</v>
      </c>
      <c r="B340" s="109" t="s">
        <v>964</v>
      </c>
      <c r="D340" s="109" t="s">
        <v>717</v>
      </c>
      <c r="E340" s="109" t="s">
        <v>814</v>
      </c>
    </row>
    <row r="341" customFormat="false" ht="14.25" hidden="false" customHeight="false" outlineLevel="0" collapsed="false">
      <c r="A341" s="108" t="n">
        <v>367</v>
      </c>
      <c r="B341" s="109" t="s">
        <v>965</v>
      </c>
      <c r="D341" s="109" t="s">
        <v>717</v>
      </c>
      <c r="E341" s="109" t="s">
        <v>728</v>
      </c>
    </row>
    <row r="342" customFormat="false" ht="14.25" hidden="false" customHeight="false" outlineLevel="0" collapsed="false">
      <c r="A342" s="108" t="n">
        <v>368</v>
      </c>
      <c r="B342" s="109" t="s">
        <v>966</v>
      </c>
      <c r="D342" s="109" t="s">
        <v>717</v>
      </c>
      <c r="E342" s="109" t="s">
        <v>822</v>
      </c>
    </row>
    <row r="343" customFormat="false" ht="14.25" hidden="false" customHeight="false" outlineLevel="0" collapsed="false">
      <c r="A343" s="108" t="n">
        <v>369</v>
      </c>
      <c r="B343" s="109" t="s">
        <v>967</v>
      </c>
      <c r="D343" s="109" t="s">
        <v>717</v>
      </c>
      <c r="E343" s="109" t="s">
        <v>558</v>
      </c>
    </row>
    <row r="344" customFormat="false" ht="14.25" hidden="false" customHeight="false" outlineLevel="0" collapsed="false">
      <c r="A344" s="108" t="n">
        <v>370</v>
      </c>
      <c r="B344" s="109" t="s">
        <v>968</v>
      </c>
      <c r="D344" s="109" t="s">
        <v>717</v>
      </c>
      <c r="E344" s="109" t="s">
        <v>728</v>
      </c>
    </row>
    <row r="345" customFormat="false" ht="14.25" hidden="false" customHeight="false" outlineLevel="0" collapsed="false">
      <c r="A345" s="108" t="n">
        <v>371</v>
      </c>
      <c r="B345" s="109" t="s">
        <v>969</v>
      </c>
      <c r="D345" s="109" t="s">
        <v>717</v>
      </c>
      <c r="E345" s="109" t="s">
        <v>782</v>
      </c>
    </row>
    <row r="346" customFormat="false" ht="14.25" hidden="false" customHeight="false" outlineLevel="0" collapsed="false">
      <c r="A346" s="108" t="n">
        <v>372</v>
      </c>
      <c r="B346" s="109" t="s">
        <v>970</v>
      </c>
      <c r="D346" s="109" t="s">
        <v>717</v>
      </c>
      <c r="E346" s="109" t="s">
        <v>971</v>
      </c>
    </row>
    <row r="347" customFormat="false" ht="14.25" hidden="false" customHeight="false" outlineLevel="0" collapsed="false">
      <c r="A347" s="108" t="n">
        <v>373</v>
      </c>
      <c r="B347" s="109" t="s">
        <v>972</v>
      </c>
      <c r="D347" s="109" t="s">
        <v>717</v>
      </c>
      <c r="E347" s="109" t="s">
        <v>822</v>
      </c>
    </row>
    <row r="348" customFormat="false" ht="14.25" hidden="false" customHeight="false" outlineLevel="0" collapsed="false">
      <c r="A348" s="108" t="n">
        <v>374</v>
      </c>
      <c r="B348" s="109" t="s">
        <v>973</v>
      </c>
      <c r="D348" s="109" t="s">
        <v>717</v>
      </c>
      <c r="E348" s="109" t="s">
        <v>814</v>
      </c>
    </row>
    <row r="349" customFormat="false" ht="14.25" hidden="false" customHeight="false" outlineLevel="0" collapsed="false">
      <c r="A349" s="108" t="n">
        <v>375</v>
      </c>
      <c r="B349" s="109" t="s">
        <v>974</v>
      </c>
      <c r="D349" s="109" t="s">
        <v>717</v>
      </c>
      <c r="E349" s="109" t="s">
        <v>728</v>
      </c>
    </row>
    <row r="350" customFormat="false" ht="14.25" hidden="false" customHeight="false" outlineLevel="0" collapsed="false">
      <c r="A350" s="108" t="n">
        <v>376</v>
      </c>
      <c r="B350" s="109" t="s">
        <v>975</v>
      </c>
      <c r="D350" s="109" t="s">
        <v>717</v>
      </c>
      <c r="E350" s="109" t="s">
        <v>976</v>
      </c>
      <c r="G350" s="109" t="n">
        <v>693595898</v>
      </c>
      <c r="H350" s="109" t="n">
        <v>651984303</v>
      </c>
    </row>
    <row r="351" customFormat="false" ht="14.25" hidden="false" customHeight="false" outlineLevel="0" collapsed="false">
      <c r="A351" s="108" t="n">
        <v>377</v>
      </c>
      <c r="B351" s="109" t="s">
        <v>977</v>
      </c>
      <c r="D351" s="109" t="s">
        <v>717</v>
      </c>
      <c r="E351" s="109" t="s">
        <v>728</v>
      </c>
      <c r="G351" s="109" t="s">
        <v>978</v>
      </c>
      <c r="H351" s="109" t="s">
        <v>979</v>
      </c>
    </row>
    <row r="352" customFormat="false" ht="14.25" hidden="false" customHeight="false" outlineLevel="0" collapsed="false">
      <c r="A352" s="108" t="n">
        <v>378</v>
      </c>
      <c r="B352" s="109" t="s">
        <v>980</v>
      </c>
      <c r="D352" s="109" t="s">
        <v>717</v>
      </c>
      <c r="E352" s="109" t="s">
        <v>728</v>
      </c>
      <c r="G352" s="109" t="s">
        <v>981</v>
      </c>
      <c r="H352" s="109" t="s">
        <v>982</v>
      </c>
    </row>
    <row r="353" customFormat="false" ht="14.25" hidden="false" customHeight="false" outlineLevel="0" collapsed="false">
      <c r="A353" s="108" t="n">
        <v>379</v>
      </c>
      <c r="B353" s="109" t="s">
        <v>983</v>
      </c>
      <c r="D353" s="109" t="s">
        <v>717</v>
      </c>
      <c r="E353" s="109" t="s">
        <v>728</v>
      </c>
    </row>
    <row r="354" customFormat="false" ht="14.25" hidden="false" customHeight="false" outlineLevel="0" collapsed="false">
      <c r="A354" s="108" t="n">
        <v>380</v>
      </c>
      <c r="B354" s="109" t="s">
        <v>984</v>
      </c>
      <c r="D354" s="109" t="s">
        <v>717</v>
      </c>
      <c r="E354" s="109" t="s">
        <v>558</v>
      </c>
      <c r="G354" s="109" t="s">
        <v>985</v>
      </c>
    </row>
    <row r="355" customFormat="false" ht="14.25" hidden="false" customHeight="false" outlineLevel="0" collapsed="false">
      <c r="A355" s="108" t="n">
        <v>381</v>
      </c>
      <c r="B355" s="109" t="s">
        <v>986</v>
      </c>
      <c r="D355" s="109" t="s">
        <v>717</v>
      </c>
      <c r="E355" s="109" t="s">
        <v>728</v>
      </c>
    </row>
    <row r="356" customFormat="false" ht="14.25" hidden="false" customHeight="false" outlineLevel="0" collapsed="false">
      <c r="A356" s="108" t="n">
        <v>382</v>
      </c>
      <c r="B356" s="109" t="s">
        <v>987</v>
      </c>
      <c r="D356" s="109" t="s">
        <v>717</v>
      </c>
      <c r="E356" s="109" t="s">
        <v>728</v>
      </c>
    </row>
    <row r="357" customFormat="false" ht="14.25" hidden="false" customHeight="false" outlineLevel="0" collapsed="false">
      <c r="A357" s="108" t="n">
        <v>383</v>
      </c>
      <c r="B357" s="109" t="s">
        <v>988</v>
      </c>
      <c r="D357" s="109" t="s">
        <v>717</v>
      </c>
      <c r="E357" s="109" t="s">
        <v>989</v>
      </c>
      <c r="H357" s="109" t="n">
        <v>699655910</v>
      </c>
    </row>
    <row r="358" customFormat="false" ht="14.25" hidden="false" customHeight="false" outlineLevel="0" collapsed="false">
      <c r="A358" s="108" t="n">
        <v>384</v>
      </c>
      <c r="B358" s="109" t="s">
        <v>990</v>
      </c>
      <c r="D358" s="109" t="s">
        <v>717</v>
      </c>
      <c r="E358" s="109" t="s">
        <v>728</v>
      </c>
      <c r="H358" s="109" t="n">
        <v>687380102</v>
      </c>
    </row>
    <row r="359" customFormat="false" ht="14.25" hidden="false" customHeight="false" outlineLevel="0" collapsed="false">
      <c r="A359" s="108" t="n">
        <v>385</v>
      </c>
      <c r="B359" s="109" t="s">
        <v>991</v>
      </c>
      <c r="D359" s="109" t="s">
        <v>717</v>
      </c>
      <c r="E359" s="109" t="s">
        <v>992</v>
      </c>
    </row>
    <row r="360" customFormat="false" ht="14.25" hidden="false" customHeight="false" outlineLevel="0" collapsed="false">
      <c r="A360" s="108" t="n">
        <v>386</v>
      </c>
      <c r="B360" s="109" t="s">
        <v>993</v>
      </c>
      <c r="D360" s="109" t="s">
        <v>717</v>
      </c>
      <c r="E360" s="109" t="s">
        <v>728</v>
      </c>
      <c r="G360" s="109" t="n">
        <v>690632629</v>
      </c>
      <c r="H360" s="109" t="n">
        <v>677672005</v>
      </c>
    </row>
    <row r="361" customFormat="false" ht="14.25" hidden="false" customHeight="false" outlineLevel="0" collapsed="false">
      <c r="A361" s="108" t="n">
        <v>387</v>
      </c>
      <c r="B361" s="109" t="s">
        <v>994</v>
      </c>
      <c r="D361" s="109" t="s">
        <v>717</v>
      </c>
      <c r="E361" s="109" t="s">
        <v>798</v>
      </c>
      <c r="G361" s="109" t="n">
        <v>698760750</v>
      </c>
    </row>
    <row r="362" customFormat="false" ht="14.25" hidden="false" customHeight="false" outlineLevel="0" collapsed="false">
      <c r="A362" s="108" t="n">
        <v>388</v>
      </c>
      <c r="B362" s="109" t="s">
        <v>995</v>
      </c>
      <c r="D362" s="109" t="s">
        <v>717</v>
      </c>
      <c r="E362" s="109" t="s">
        <v>782</v>
      </c>
    </row>
    <row r="363" customFormat="false" ht="14.25" hidden="false" customHeight="false" outlineLevel="0" collapsed="false">
      <c r="A363" s="108" t="n">
        <v>389</v>
      </c>
      <c r="B363" s="109" t="s">
        <v>996</v>
      </c>
      <c r="D363" s="109" t="s">
        <v>717</v>
      </c>
      <c r="E363" s="109" t="s">
        <v>558</v>
      </c>
    </row>
    <row r="364" customFormat="false" ht="14.25" hidden="false" customHeight="false" outlineLevel="0" collapsed="false">
      <c r="A364" s="108" t="n">
        <v>390</v>
      </c>
      <c r="B364" s="109" t="s">
        <v>997</v>
      </c>
      <c r="D364" s="109" t="s">
        <v>717</v>
      </c>
      <c r="E364" s="109" t="s">
        <v>814</v>
      </c>
    </row>
    <row r="365" customFormat="false" ht="14.25" hidden="false" customHeight="false" outlineLevel="0" collapsed="false">
      <c r="A365" s="108" t="n">
        <v>391</v>
      </c>
      <c r="B365" s="109" t="s">
        <v>998</v>
      </c>
      <c r="D365" s="109" t="s">
        <v>717</v>
      </c>
      <c r="E365" s="109" t="s">
        <v>728</v>
      </c>
    </row>
    <row r="366" customFormat="false" ht="14.25" hidden="false" customHeight="false" outlineLevel="0" collapsed="false">
      <c r="A366" s="108" t="n">
        <v>392</v>
      </c>
      <c r="B366" s="109" t="s">
        <v>999</v>
      </c>
      <c r="D366" s="109" t="s">
        <v>717</v>
      </c>
      <c r="E366" s="109" t="s">
        <v>558</v>
      </c>
    </row>
    <row r="367" customFormat="false" ht="14.25" hidden="false" customHeight="false" outlineLevel="0" collapsed="false">
      <c r="A367" s="108" t="n">
        <v>393</v>
      </c>
      <c r="B367" s="109" t="s">
        <v>1000</v>
      </c>
      <c r="D367" s="109" t="s">
        <v>717</v>
      </c>
      <c r="E367" s="109" t="s">
        <v>728</v>
      </c>
    </row>
    <row r="368" customFormat="false" ht="14.25" hidden="false" customHeight="false" outlineLevel="0" collapsed="false">
      <c r="A368" s="108" t="n">
        <v>394</v>
      </c>
      <c r="B368" s="109" t="s">
        <v>1001</v>
      </c>
      <c r="D368" s="109" t="s">
        <v>717</v>
      </c>
      <c r="E368" s="109" t="s">
        <v>728</v>
      </c>
    </row>
    <row r="369" customFormat="false" ht="14.25" hidden="false" customHeight="false" outlineLevel="0" collapsed="false">
      <c r="A369" s="108" t="n">
        <v>395</v>
      </c>
      <c r="B369" s="109" t="s">
        <v>1002</v>
      </c>
      <c r="D369" s="109" t="s">
        <v>717</v>
      </c>
      <c r="E369" s="109" t="s">
        <v>728</v>
      </c>
    </row>
    <row r="370" customFormat="false" ht="14.25" hidden="false" customHeight="false" outlineLevel="0" collapsed="false">
      <c r="A370" s="108" t="n">
        <v>396</v>
      </c>
      <c r="B370" s="109" t="s">
        <v>1003</v>
      </c>
      <c r="D370" s="109" t="s">
        <v>717</v>
      </c>
      <c r="E370" s="109" t="s">
        <v>728</v>
      </c>
    </row>
    <row r="371" customFormat="false" ht="14.25" hidden="false" customHeight="false" outlineLevel="0" collapsed="false">
      <c r="A371" s="108" t="n">
        <v>397</v>
      </c>
      <c r="B371" s="109" t="s">
        <v>688</v>
      </c>
      <c r="D371" s="109" t="s">
        <v>701</v>
      </c>
      <c r="E371" s="109" t="s">
        <v>702</v>
      </c>
      <c r="F371" s="109" t="s">
        <v>1004</v>
      </c>
      <c r="H371" s="109" t="n">
        <v>97148151222</v>
      </c>
    </row>
    <row r="372" customFormat="false" ht="14.25" hidden="false" customHeight="false" outlineLevel="0" collapsed="false">
      <c r="A372" s="108" t="n">
        <v>398</v>
      </c>
      <c r="B372" s="109" t="s">
        <v>684</v>
      </c>
      <c r="D372" s="109" t="s">
        <v>657</v>
      </c>
      <c r="E372" s="109" t="s">
        <v>1005</v>
      </c>
      <c r="F372" s="109" t="s">
        <v>1006</v>
      </c>
    </row>
    <row r="373" customFormat="false" ht="14.25" hidden="false" customHeight="false" outlineLevel="0" collapsed="false">
      <c r="A373" s="108" t="n">
        <v>399</v>
      </c>
      <c r="B373" s="109" t="s">
        <v>681</v>
      </c>
      <c r="D373" s="109" t="s">
        <v>717</v>
      </c>
      <c r="E373" s="109" t="s">
        <v>1007</v>
      </c>
    </row>
    <row r="374" customFormat="false" ht="14.25" hidden="false" customHeight="false" outlineLevel="0" collapsed="false">
      <c r="A374" s="108" t="n">
        <v>400</v>
      </c>
      <c r="B374" s="109" t="s">
        <v>1008</v>
      </c>
      <c r="D374" s="109" t="s">
        <v>717</v>
      </c>
      <c r="E374" s="109" t="s">
        <v>728</v>
      </c>
    </row>
    <row r="375" customFormat="false" ht="14.25" hidden="false" customHeight="false" outlineLevel="0" collapsed="false">
      <c r="A375" s="108" t="n">
        <v>401</v>
      </c>
      <c r="B375" s="109" t="s">
        <v>226</v>
      </c>
      <c r="D375" s="109" t="s">
        <v>717</v>
      </c>
      <c r="E375" s="109" t="s">
        <v>1009</v>
      </c>
    </row>
    <row r="376" customFormat="false" ht="14.25" hidden="false" customHeight="false" outlineLevel="0" collapsed="false">
      <c r="A376" s="108" t="n">
        <v>402</v>
      </c>
      <c r="B376" s="109" t="s">
        <v>669</v>
      </c>
      <c r="D376" s="109" t="s">
        <v>1010</v>
      </c>
      <c r="E376" s="109" t="s">
        <v>1011</v>
      </c>
    </row>
    <row r="377" customFormat="false" ht="14.25" hidden="false" customHeight="false" outlineLevel="0" collapsed="false">
      <c r="A377" s="108" t="n">
        <v>403</v>
      </c>
      <c r="B377" s="109" t="s">
        <v>1012</v>
      </c>
    </row>
    <row r="378" customFormat="false" ht="14.25" hidden="false" customHeight="false" outlineLevel="0" collapsed="false">
      <c r="A378" s="108" t="n">
        <v>404</v>
      </c>
      <c r="B378" s="109" t="s">
        <v>692</v>
      </c>
      <c r="D378" s="109" t="s">
        <v>1013</v>
      </c>
      <c r="E378" s="109" t="s">
        <v>1014</v>
      </c>
    </row>
    <row r="379" customFormat="false" ht="14.25" hidden="false" customHeight="false" outlineLevel="0" collapsed="false">
      <c r="A379" s="108" t="n">
        <v>405</v>
      </c>
      <c r="B379" s="109" t="s">
        <v>693</v>
      </c>
      <c r="D379" s="109" t="s">
        <v>717</v>
      </c>
      <c r="E379" s="109" t="s">
        <v>718</v>
      </c>
    </row>
    <row r="380" customFormat="false" ht="14.25" hidden="false" customHeight="false" outlineLevel="0" collapsed="false">
      <c r="A380" s="108" t="n">
        <v>406</v>
      </c>
      <c r="B380" s="109" t="s">
        <v>691</v>
      </c>
      <c r="D380" s="109" t="s">
        <v>717</v>
      </c>
      <c r="E380" s="109" t="s">
        <v>1015</v>
      </c>
    </row>
    <row r="381" customFormat="false" ht="14.25" hidden="false" customHeight="false" outlineLevel="0" collapsed="false">
      <c r="A381" s="108" t="n">
        <v>407</v>
      </c>
      <c r="B381" s="109" t="s">
        <v>1016</v>
      </c>
      <c r="D381" s="109" t="s">
        <v>717</v>
      </c>
      <c r="E381" s="109" t="s">
        <v>795</v>
      </c>
    </row>
    <row r="382" customFormat="false" ht="14.25" hidden="false" customHeight="false" outlineLevel="0" collapsed="false">
      <c r="A382" s="108" t="n">
        <v>408</v>
      </c>
      <c r="B382" s="109" t="s">
        <v>1017</v>
      </c>
      <c r="D382" s="109" t="s">
        <v>717</v>
      </c>
      <c r="E382" s="109" t="s">
        <v>728</v>
      </c>
    </row>
    <row r="383" customFormat="false" ht="14.25" hidden="false" customHeight="false" outlineLevel="0" collapsed="false">
      <c r="A383" s="108" t="n">
        <v>409</v>
      </c>
      <c r="B383" s="109" t="s">
        <v>1018</v>
      </c>
      <c r="D383" s="109" t="s">
        <v>717</v>
      </c>
      <c r="E383" s="109" t="s">
        <v>814</v>
      </c>
    </row>
    <row r="384" customFormat="false" ht="14.25" hidden="false" customHeight="false" outlineLevel="0" collapsed="false">
      <c r="A384" s="108" t="n">
        <v>410</v>
      </c>
      <c r="B384" s="109" t="s">
        <v>1019</v>
      </c>
      <c r="D384" s="109" t="s">
        <v>717</v>
      </c>
      <c r="E384" s="109" t="s">
        <v>1020</v>
      </c>
    </row>
    <row r="385" customFormat="false" ht="14.25" hidden="false" customHeight="false" outlineLevel="0" collapsed="false">
      <c r="A385" s="108" t="n">
        <v>411</v>
      </c>
      <c r="B385" s="109" t="s">
        <v>1021</v>
      </c>
      <c r="D385" s="109" t="s">
        <v>717</v>
      </c>
      <c r="E385" s="109" t="s">
        <v>1022</v>
      </c>
    </row>
    <row r="386" customFormat="false" ht="14.25" hidden="false" customHeight="false" outlineLevel="0" collapsed="false">
      <c r="A386" s="108" t="n">
        <v>412</v>
      </c>
      <c r="B386" s="109" t="s">
        <v>1023</v>
      </c>
      <c r="D386" s="109" t="s">
        <v>717</v>
      </c>
      <c r="E386" s="109" t="s">
        <v>728</v>
      </c>
    </row>
    <row r="387" customFormat="false" ht="14.25" hidden="false" customHeight="false" outlineLevel="0" collapsed="false">
      <c r="A387" s="108" t="n">
        <v>413</v>
      </c>
      <c r="B387" s="109" t="s">
        <v>1024</v>
      </c>
      <c r="D387" s="109" t="s">
        <v>717</v>
      </c>
      <c r="E387" s="109" t="s">
        <v>728</v>
      </c>
    </row>
    <row r="388" customFormat="false" ht="14.25" hidden="false" customHeight="false" outlineLevel="0" collapsed="false">
      <c r="A388" s="108" t="n">
        <v>414</v>
      </c>
      <c r="B388" s="109" t="s">
        <v>157</v>
      </c>
      <c r="D388" s="109" t="s">
        <v>717</v>
      </c>
      <c r="E388" s="109" t="s">
        <v>728</v>
      </c>
    </row>
    <row r="389" customFormat="false" ht="14.25" hidden="false" customHeight="false" outlineLevel="0" collapsed="false">
      <c r="A389" s="108" t="n">
        <v>415</v>
      </c>
      <c r="B389" s="109" t="s">
        <v>1025</v>
      </c>
      <c r="D389" s="109" t="s">
        <v>717</v>
      </c>
      <c r="E389" s="109" t="s">
        <v>728</v>
      </c>
    </row>
    <row r="390" customFormat="false" ht="14.25" hidden="false" customHeight="false" outlineLevel="0" collapsed="false">
      <c r="A390" s="108" t="n">
        <v>416</v>
      </c>
      <c r="B390" s="109" t="s">
        <v>1026</v>
      </c>
      <c r="D390" s="109" t="s">
        <v>717</v>
      </c>
      <c r="E390" s="109" t="s">
        <v>728</v>
      </c>
    </row>
    <row r="391" customFormat="false" ht="14.25" hidden="false" customHeight="false" outlineLevel="0" collapsed="false">
      <c r="A391" s="108" t="n">
        <v>417</v>
      </c>
      <c r="B391" s="109" t="s">
        <v>1027</v>
      </c>
      <c r="D391" s="109" t="s">
        <v>717</v>
      </c>
      <c r="E391" s="109" t="s">
        <v>728</v>
      </c>
    </row>
    <row r="392" customFormat="false" ht="14.25" hidden="false" customHeight="false" outlineLevel="0" collapsed="false">
      <c r="A392" s="108" t="n">
        <v>418</v>
      </c>
      <c r="B392" s="109" t="s">
        <v>1028</v>
      </c>
      <c r="D392" s="109" t="s">
        <v>717</v>
      </c>
      <c r="E392" s="109" t="s">
        <v>728</v>
      </c>
    </row>
    <row r="393" customFormat="false" ht="14.25" hidden="false" customHeight="false" outlineLevel="0" collapsed="false">
      <c r="A393" s="108" t="n">
        <v>419</v>
      </c>
      <c r="B393" s="109" t="s">
        <v>1029</v>
      </c>
      <c r="D393" s="109" t="s">
        <v>717</v>
      </c>
      <c r="E393" s="109" t="s">
        <v>728</v>
      </c>
    </row>
    <row r="394" customFormat="false" ht="14.25" hidden="false" customHeight="false" outlineLevel="0" collapsed="false">
      <c r="A394" s="108" t="n">
        <v>420</v>
      </c>
      <c r="B394" s="109" t="s">
        <v>1030</v>
      </c>
      <c r="D394" s="109" t="s">
        <v>717</v>
      </c>
      <c r="E394" s="109" t="s">
        <v>728</v>
      </c>
    </row>
    <row r="395" customFormat="false" ht="14.25" hidden="false" customHeight="false" outlineLevel="0" collapsed="false">
      <c r="A395" s="108" t="n">
        <v>421</v>
      </c>
      <c r="B395" s="109" t="s">
        <v>1031</v>
      </c>
      <c r="D395" s="109" t="s">
        <v>717</v>
      </c>
      <c r="E395" s="109" t="s">
        <v>728</v>
      </c>
    </row>
    <row r="396" customFormat="false" ht="14.25" hidden="false" customHeight="false" outlineLevel="0" collapsed="false">
      <c r="A396" s="108" t="n">
        <v>422</v>
      </c>
      <c r="B396" s="109" t="s">
        <v>1032</v>
      </c>
      <c r="D396" s="109" t="s">
        <v>717</v>
      </c>
      <c r="E396" s="109" t="s">
        <v>728</v>
      </c>
    </row>
    <row r="397" customFormat="false" ht="14.25" hidden="false" customHeight="false" outlineLevel="0" collapsed="false">
      <c r="A397" s="108" t="n">
        <v>423</v>
      </c>
      <c r="B397" s="109" t="s">
        <v>1033</v>
      </c>
      <c r="D397" s="109" t="s">
        <v>717</v>
      </c>
      <c r="E397" s="109" t="s">
        <v>728</v>
      </c>
    </row>
    <row r="398" customFormat="false" ht="14.25" hidden="false" customHeight="false" outlineLevel="0" collapsed="false">
      <c r="A398" s="108" t="n">
        <v>424</v>
      </c>
      <c r="B398" s="109" t="s">
        <v>1034</v>
      </c>
    </row>
    <row r="399" customFormat="false" ht="14.25" hidden="false" customHeight="false" outlineLevel="0" collapsed="false">
      <c r="A399" s="108" t="n">
        <v>425</v>
      </c>
      <c r="B399" s="109" t="s">
        <v>1035</v>
      </c>
      <c r="D399" s="109" t="s">
        <v>717</v>
      </c>
      <c r="E399" s="109" t="s">
        <v>728</v>
      </c>
    </row>
    <row r="400" customFormat="false" ht="14.25" hidden="false" customHeight="false" outlineLevel="0" collapsed="false">
      <c r="A400" s="108" t="n">
        <v>426</v>
      </c>
      <c r="B400" s="109" t="s">
        <v>1036</v>
      </c>
      <c r="D400" s="109" t="s">
        <v>717</v>
      </c>
      <c r="E400" s="109" t="s">
        <v>728</v>
      </c>
    </row>
    <row r="401" customFormat="false" ht="14.25" hidden="false" customHeight="false" outlineLevel="0" collapsed="false">
      <c r="A401" s="108" t="n">
        <v>427</v>
      </c>
      <c r="B401" s="109" t="s">
        <v>671</v>
      </c>
      <c r="D401" s="109" t="s">
        <v>717</v>
      </c>
      <c r="E401" s="109" t="s">
        <v>728</v>
      </c>
    </row>
    <row r="402" customFormat="false" ht="14.25" hidden="false" customHeight="false" outlineLevel="0" collapsed="false">
      <c r="A402" s="108" t="n">
        <v>428</v>
      </c>
      <c r="B402" s="109" t="s">
        <v>1037</v>
      </c>
      <c r="D402" s="109" t="s">
        <v>717</v>
      </c>
      <c r="E402" s="109" t="s">
        <v>728</v>
      </c>
    </row>
    <row r="403" customFormat="false" ht="14.25" hidden="false" customHeight="false" outlineLevel="0" collapsed="false">
      <c r="A403" s="108" t="n">
        <v>429</v>
      </c>
      <c r="B403" s="109" t="s">
        <v>1038</v>
      </c>
      <c r="D403" s="109" t="s">
        <v>717</v>
      </c>
      <c r="E403" s="109" t="s">
        <v>728</v>
      </c>
    </row>
    <row r="404" customFormat="false" ht="14.25" hidden="false" customHeight="false" outlineLevel="0" collapsed="false">
      <c r="A404" s="108" t="n">
        <v>430</v>
      </c>
      <c r="B404" s="109" t="s">
        <v>672</v>
      </c>
      <c r="D404" s="109" t="s">
        <v>717</v>
      </c>
      <c r="E404" s="109" t="s">
        <v>728</v>
      </c>
    </row>
    <row r="405" customFormat="false" ht="14.25" hidden="false" customHeight="false" outlineLevel="0" collapsed="false">
      <c r="A405" s="108" t="n">
        <v>431</v>
      </c>
      <c r="B405" s="109" t="s">
        <v>1039</v>
      </c>
      <c r="D405" s="109" t="s">
        <v>717</v>
      </c>
      <c r="E405" s="109" t="s">
        <v>728</v>
      </c>
    </row>
    <row r="406" customFormat="false" ht="14.25" hidden="false" customHeight="false" outlineLevel="0" collapsed="false">
      <c r="A406" s="108" t="n">
        <v>432</v>
      </c>
      <c r="B406" s="109" t="s">
        <v>1040</v>
      </c>
      <c r="D406" s="109" t="s">
        <v>717</v>
      </c>
      <c r="E406" s="109" t="s">
        <v>728</v>
      </c>
    </row>
    <row r="407" customFormat="false" ht="14.25" hidden="false" customHeight="false" outlineLevel="0" collapsed="false">
      <c r="A407" s="108" t="n">
        <v>433</v>
      </c>
      <c r="B407" s="109" t="s">
        <v>1041</v>
      </c>
      <c r="D407" s="109" t="s">
        <v>717</v>
      </c>
      <c r="E407" s="109" t="s">
        <v>728</v>
      </c>
    </row>
    <row r="408" customFormat="false" ht="14.25" hidden="false" customHeight="false" outlineLevel="0" collapsed="false">
      <c r="A408" s="108" t="n">
        <v>434</v>
      </c>
      <c r="B408" s="109" t="s">
        <v>1042</v>
      </c>
      <c r="D408" s="109" t="s">
        <v>717</v>
      </c>
      <c r="E408" s="109" t="s">
        <v>728</v>
      </c>
    </row>
    <row r="409" customFormat="false" ht="14.25" hidden="false" customHeight="false" outlineLevel="0" collapsed="false">
      <c r="A409" s="108" t="n">
        <v>435</v>
      </c>
      <c r="B409" s="109" t="s">
        <v>1043</v>
      </c>
      <c r="D409" s="109" t="s">
        <v>717</v>
      </c>
      <c r="E409" s="109" t="s">
        <v>728</v>
      </c>
    </row>
    <row r="410" customFormat="false" ht="14.25" hidden="false" customHeight="false" outlineLevel="0" collapsed="false">
      <c r="A410" s="108" t="n">
        <v>436</v>
      </c>
      <c r="B410" s="109" t="s">
        <v>673</v>
      </c>
      <c r="D410" s="109" t="s">
        <v>717</v>
      </c>
      <c r="E410" s="109" t="s">
        <v>728</v>
      </c>
    </row>
    <row r="411" customFormat="false" ht="14.25" hidden="false" customHeight="false" outlineLevel="0" collapsed="false">
      <c r="A411" s="108" t="n">
        <v>437</v>
      </c>
      <c r="B411" s="109" t="s">
        <v>674</v>
      </c>
      <c r="D411" s="109" t="s">
        <v>717</v>
      </c>
      <c r="E411" s="109" t="s">
        <v>728</v>
      </c>
    </row>
    <row r="412" customFormat="false" ht="14.25" hidden="false" customHeight="false" outlineLevel="0" collapsed="false">
      <c r="A412" s="108" t="n">
        <v>438</v>
      </c>
      <c r="B412" s="109" t="s">
        <v>1044</v>
      </c>
      <c r="D412" s="109" t="s">
        <v>717</v>
      </c>
      <c r="E412" s="109" t="s">
        <v>728</v>
      </c>
    </row>
    <row r="413" customFormat="false" ht="14.25" hidden="false" customHeight="false" outlineLevel="0" collapsed="false">
      <c r="A413" s="108" t="n">
        <v>439</v>
      </c>
      <c r="B413" s="109" t="s">
        <v>1045</v>
      </c>
      <c r="D413" s="109" t="s">
        <v>717</v>
      </c>
      <c r="E413" s="109" t="s">
        <v>728</v>
      </c>
    </row>
    <row r="414" customFormat="false" ht="14.25" hidden="false" customHeight="false" outlineLevel="0" collapsed="false">
      <c r="A414" s="108" t="n">
        <v>440</v>
      </c>
      <c r="B414" s="109" t="s">
        <v>1046</v>
      </c>
      <c r="D414" s="109" t="s">
        <v>717</v>
      </c>
      <c r="E414" s="109" t="s">
        <v>728</v>
      </c>
    </row>
    <row r="415" customFormat="false" ht="14.25" hidden="false" customHeight="false" outlineLevel="0" collapsed="false">
      <c r="A415" s="108" t="n">
        <v>441</v>
      </c>
      <c r="B415" s="109" t="s">
        <v>1047</v>
      </c>
      <c r="D415" s="109" t="s">
        <v>717</v>
      </c>
      <c r="E415" s="109" t="s">
        <v>728</v>
      </c>
    </row>
    <row r="416" customFormat="false" ht="14.25" hidden="false" customHeight="false" outlineLevel="0" collapsed="false">
      <c r="A416" s="108" t="n">
        <v>442</v>
      </c>
      <c r="B416" s="109" t="s">
        <v>1048</v>
      </c>
      <c r="D416" s="109" t="s">
        <v>717</v>
      </c>
      <c r="E416" s="109" t="s">
        <v>728</v>
      </c>
    </row>
    <row r="417" customFormat="false" ht="14.25" hidden="false" customHeight="false" outlineLevel="0" collapsed="false">
      <c r="A417" s="108" t="n">
        <v>443</v>
      </c>
      <c r="B417" s="109" t="s">
        <v>675</v>
      </c>
      <c r="D417" s="109" t="s">
        <v>717</v>
      </c>
      <c r="E417" s="109" t="s">
        <v>728</v>
      </c>
    </row>
    <row r="418" customFormat="false" ht="14.25" hidden="false" customHeight="false" outlineLevel="0" collapsed="false">
      <c r="A418" s="108" t="n">
        <v>444</v>
      </c>
      <c r="B418" s="109" t="s">
        <v>1049</v>
      </c>
      <c r="D418" s="109" t="s">
        <v>717</v>
      </c>
      <c r="E418" s="109" t="s">
        <v>728</v>
      </c>
    </row>
    <row r="419" customFormat="false" ht="14.25" hidden="false" customHeight="false" outlineLevel="0" collapsed="false">
      <c r="A419" s="108" t="n">
        <v>445</v>
      </c>
      <c r="B419" s="109" t="s">
        <v>676</v>
      </c>
      <c r="D419" s="109" t="s">
        <v>717</v>
      </c>
      <c r="E419" s="109" t="s">
        <v>728</v>
      </c>
    </row>
    <row r="420" customFormat="false" ht="14.25" hidden="false" customHeight="false" outlineLevel="0" collapsed="false">
      <c r="A420" s="108" t="n">
        <v>446</v>
      </c>
      <c r="B420" s="109" t="s">
        <v>1050</v>
      </c>
      <c r="D420" s="109" t="s">
        <v>717</v>
      </c>
      <c r="E420" s="109" t="s">
        <v>728</v>
      </c>
    </row>
    <row r="421" customFormat="false" ht="14.25" hidden="false" customHeight="false" outlineLevel="0" collapsed="false">
      <c r="A421" s="108" t="n">
        <v>447</v>
      </c>
      <c r="B421" s="109" t="s">
        <v>1051</v>
      </c>
      <c r="D421" s="109" t="s">
        <v>717</v>
      </c>
      <c r="E421" s="109" t="s">
        <v>728</v>
      </c>
    </row>
    <row r="422" customFormat="false" ht="14.25" hidden="false" customHeight="false" outlineLevel="0" collapsed="false">
      <c r="A422" s="108" t="n">
        <v>448</v>
      </c>
      <c r="B422" s="109" t="s">
        <v>1052</v>
      </c>
      <c r="D422" s="109" t="s">
        <v>717</v>
      </c>
      <c r="E422" s="109" t="s">
        <v>728</v>
      </c>
    </row>
    <row r="423" customFormat="false" ht="14.25" hidden="false" customHeight="false" outlineLevel="0" collapsed="false">
      <c r="A423" s="108" t="n">
        <v>449</v>
      </c>
      <c r="B423" s="109" t="s">
        <v>1053</v>
      </c>
      <c r="D423" s="109" t="s">
        <v>717</v>
      </c>
      <c r="E423" s="109" t="s">
        <v>728</v>
      </c>
    </row>
    <row r="424" customFormat="false" ht="14.25" hidden="false" customHeight="false" outlineLevel="0" collapsed="false">
      <c r="A424" s="108" t="n">
        <v>450</v>
      </c>
      <c r="B424" s="109" t="s">
        <v>1054</v>
      </c>
      <c r="D424" s="109" t="s">
        <v>717</v>
      </c>
      <c r="E424" s="109" t="s">
        <v>728</v>
      </c>
    </row>
    <row r="425" customFormat="false" ht="14.25" hidden="false" customHeight="false" outlineLevel="0" collapsed="false">
      <c r="A425" s="108" t="n">
        <v>451</v>
      </c>
      <c r="B425" s="109" t="s">
        <v>1055</v>
      </c>
      <c r="D425" s="109" t="s">
        <v>717</v>
      </c>
      <c r="E425" s="109" t="s">
        <v>728</v>
      </c>
    </row>
    <row r="426" customFormat="false" ht="14.25" hidden="false" customHeight="false" outlineLevel="0" collapsed="false">
      <c r="A426" s="108" t="n">
        <v>452</v>
      </c>
      <c r="B426" s="109" t="s">
        <v>1056</v>
      </c>
      <c r="D426" s="109" t="s">
        <v>717</v>
      </c>
      <c r="E426" s="109" t="s">
        <v>728</v>
      </c>
    </row>
    <row r="427" customFormat="false" ht="14.25" hidden="false" customHeight="false" outlineLevel="0" collapsed="false">
      <c r="A427" s="108" t="n">
        <v>453</v>
      </c>
      <c r="B427" s="109" t="s">
        <v>1057</v>
      </c>
      <c r="D427" s="109" t="s">
        <v>717</v>
      </c>
      <c r="E427" s="109" t="s">
        <v>728</v>
      </c>
    </row>
    <row r="428" customFormat="false" ht="14.25" hidden="false" customHeight="false" outlineLevel="0" collapsed="false">
      <c r="A428" s="108" t="n">
        <v>454</v>
      </c>
      <c r="B428" s="109" t="s">
        <v>1058</v>
      </c>
      <c r="D428" s="109" t="s">
        <v>717</v>
      </c>
      <c r="E428" s="109" t="s">
        <v>728</v>
      </c>
    </row>
    <row r="429" customFormat="false" ht="14.25" hidden="false" customHeight="false" outlineLevel="0" collapsed="false">
      <c r="A429" s="108" t="n">
        <v>455</v>
      </c>
      <c r="B429" s="109" t="s">
        <v>1059</v>
      </c>
      <c r="D429" s="109" t="s">
        <v>717</v>
      </c>
      <c r="E429" s="109" t="s">
        <v>728</v>
      </c>
    </row>
    <row r="430" customFormat="false" ht="14.25" hidden="false" customHeight="false" outlineLevel="0" collapsed="false">
      <c r="A430" s="108" t="n">
        <v>456</v>
      </c>
      <c r="B430" s="109" t="s">
        <v>1060</v>
      </c>
      <c r="D430" s="109" t="s">
        <v>717</v>
      </c>
      <c r="E430" s="109" t="s">
        <v>728</v>
      </c>
    </row>
    <row r="431" customFormat="false" ht="14.25" hidden="false" customHeight="false" outlineLevel="0" collapsed="false">
      <c r="A431" s="108" t="n">
        <v>457</v>
      </c>
      <c r="B431" s="109" t="s">
        <v>1061</v>
      </c>
      <c r="D431" s="109" t="s">
        <v>717</v>
      </c>
      <c r="E431" s="109" t="s">
        <v>728</v>
      </c>
    </row>
    <row r="432" customFormat="false" ht="14.25" hidden="false" customHeight="false" outlineLevel="0" collapsed="false">
      <c r="A432" s="108" t="n">
        <v>458</v>
      </c>
      <c r="B432" s="109" t="s">
        <v>1062</v>
      </c>
      <c r="D432" s="109" t="s">
        <v>717</v>
      </c>
      <c r="E432" s="109" t="s">
        <v>728</v>
      </c>
    </row>
    <row r="433" customFormat="false" ht="14.25" hidden="false" customHeight="false" outlineLevel="0" collapsed="false">
      <c r="A433" s="108" t="n">
        <v>459</v>
      </c>
      <c r="B433" s="109" t="s">
        <v>1063</v>
      </c>
      <c r="D433" s="109" t="s">
        <v>717</v>
      </c>
      <c r="E433" s="109" t="s">
        <v>728</v>
      </c>
    </row>
    <row r="434" customFormat="false" ht="14.25" hidden="false" customHeight="false" outlineLevel="0" collapsed="false">
      <c r="A434" s="108" t="n">
        <v>460</v>
      </c>
      <c r="B434" s="109" t="s">
        <v>845</v>
      </c>
      <c r="D434" s="109" t="s">
        <v>717</v>
      </c>
      <c r="E434" s="109" t="s">
        <v>728</v>
      </c>
    </row>
    <row r="435" customFormat="false" ht="14.25" hidden="false" customHeight="false" outlineLevel="0" collapsed="false">
      <c r="A435" s="108" t="n">
        <v>461</v>
      </c>
      <c r="B435" s="109" t="s">
        <v>1064</v>
      </c>
      <c r="D435" s="109" t="s">
        <v>717</v>
      </c>
      <c r="E435" s="109" t="s">
        <v>728</v>
      </c>
    </row>
    <row r="436" customFormat="false" ht="14.25" hidden="false" customHeight="false" outlineLevel="0" collapsed="false">
      <c r="A436" s="108" t="n">
        <v>462</v>
      </c>
      <c r="B436" s="109" t="s">
        <v>1065</v>
      </c>
      <c r="D436" s="109" t="s">
        <v>717</v>
      </c>
      <c r="E436" s="109" t="s">
        <v>728</v>
      </c>
    </row>
    <row r="437" customFormat="false" ht="14.25" hidden="false" customHeight="false" outlineLevel="0" collapsed="false">
      <c r="A437" s="108" t="n">
        <v>463</v>
      </c>
      <c r="B437" s="109" t="s">
        <v>1066</v>
      </c>
      <c r="D437" s="109" t="s">
        <v>717</v>
      </c>
      <c r="E437" s="109" t="s">
        <v>728</v>
      </c>
    </row>
    <row r="438" customFormat="false" ht="14.25" hidden="false" customHeight="false" outlineLevel="0" collapsed="false">
      <c r="A438" s="108" t="n">
        <v>464</v>
      </c>
      <c r="B438" s="109" t="s">
        <v>1067</v>
      </c>
      <c r="D438" s="109" t="s">
        <v>717</v>
      </c>
      <c r="E438" s="109" t="s">
        <v>728</v>
      </c>
    </row>
    <row r="439" customFormat="false" ht="14.25" hidden="false" customHeight="false" outlineLevel="0" collapsed="false">
      <c r="A439" s="108" t="n">
        <v>465</v>
      </c>
      <c r="B439" s="109" t="s">
        <v>1068</v>
      </c>
      <c r="D439" s="109" t="s">
        <v>717</v>
      </c>
      <c r="E439" s="109" t="s">
        <v>728</v>
      </c>
    </row>
    <row r="440" customFormat="false" ht="14.25" hidden="false" customHeight="false" outlineLevel="0" collapsed="false">
      <c r="A440" s="108" t="n">
        <v>466</v>
      </c>
      <c r="B440" s="109" t="s">
        <v>1069</v>
      </c>
      <c r="D440" s="109" t="s">
        <v>717</v>
      </c>
      <c r="E440" s="109" t="s">
        <v>728</v>
      </c>
    </row>
    <row r="441" customFormat="false" ht="14.25" hidden="false" customHeight="false" outlineLevel="0" collapsed="false">
      <c r="A441" s="108" t="n">
        <v>467</v>
      </c>
      <c r="B441" s="109" t="s">
        <v>1070</v>
      </c>
      <c r="D441" s="109" t="s">
        <v>717</v>
      </c>
      <c r="E441" s="109" t="s">
        <v>728</v>
      </c>
    </row>
    <row r="442" customFormat="false" ht="14.25" hidden="false" customHeight="false" outlineLevel="0" collapsed="false">
      <c r="A442" s="108" t="n">
        <v>468</v>
      </c>
      <c r="B442" s="109" t="s">
        <v>1071</v>
      </c>
      <c r="D442" s="109" t="s">
        <v>717</v>
      </c>
      <c r="E442" s="109" t="s">
        <v>728</v>
      </c>
    </row>
    <row r="443" customFormat="false" ht="14.25" hidden="false" customHeight="false" outlineLevel="0" collapsed="false">
      <c r="A443" s="108" t="n">
        <v>469</v>
      </c>
      <c r="B443" s="109" t="s">
        <v>1072</v>
      </c>
      <c r="D443" s="109" t="s">
        <v>717</v>
      </c>
      <c r="E443" s="109" t="s">
        <v>728</v>
      </c>
    </row>
    <row r="444" customFormat="false" ht="14.25" hidden="false" customHeight="false" outlineLevel="0" collapsed="false">
      <c r="A444" s="108" t="n">
        <v>470</v>
      </c>
      <c r="B444" s="109" t="s">
        <v>1073</v>
      </c>
      <c r="D444" s="109" t="s">
        <v>717</v>
      </c>
      <c r="E444" s="109" t="s">
        <v>728</v>
      </c>
    </row>
    <row r="445" customFormat="false" ht="14.25" hidden="false" customHeight="false" outlineLevel="0" collapsed="false">
      <c r="A445" s="108" t="n">
        <v>471</v>
      </c>
      <c r="B445" s="109" t="s">
        <v>1074</v>
      </c>
      <c r="D445" s="109" t="s">
        <v>717</v>
      </c>
      <c r="E445" s="109" t="s">
        <v>728</v>
      </c>
    </row>
    <row r="446" customFormat="false" ht="14.25" hidden="false" customHeight="false" outlineLevel="0" collapsed="false">
      <c r="A446" s="108" t="n">
        <v>472</v>
      </c>
      <c r="B446" s="109" t="s">
        <v>1075</v>
      </c>
      <c r="D446" s="109" t="s">
        <v>717</v>
      </c>
      <c r="E446" s="109" t="s">
        <v>728</v>
      </c>
    </row>
    <row r="447" customFormat="false" ht="14.25" hidden="false" customHeight="false" outlineLevel="0" collapsed="false">
      <c r="A447" s="108" t="n">
        <v>473</v>
      </c>
      <c r="B447" s="109" t="s">
        <v>1076</v>
      </c>
      <c r="D447" s="109" t="s">
        <v>717</v>
      </c>
      <c r="E447" s="109" t="s">
        <v>728</v>
      </c>
    </row>
    <row r="448" customFormat="false" ht="14.25" hidden="false" customHeight="false" outlineLevel="0" collapsed="false">
      <c r="A448" s="108" t="n">
        <v>474</v>
      </c>
      <c r="B448" s="109" t="s">
        <v>677</v>
      </c>
      <c r="D448" s="109" t="s">
        <v>717</v>
      </c>
      <c r="E448" s="109" t="s">
        <v>728</v>
      </c>
    </row>
    <row r="449" customFormat="false" ht="14.25" hidden="false" customHeight="false" outlineLevel="0" collapsed="false">
      <c r="A449" s="108" t="n">
        <v>475</v>
      </c>
      <c r="B449" s="109" t="s">
        <v>678</v>
      </c>
      <c r="D449" s="109" t="s">
        <v>717</v>
      </c>
      <c r="E449" s="109" t="s">
        <v>728</v>
      </c>
    </row>
    <row r="450" customFormat="false" ht="14.25" hidden="false" customHeight="false" outlineLevel="0" collapsed="false">
      <c r="A450" s="108" t="n">
        <v>476</v>
      </c>
      <c r="B450" s="109" t="s">
        <v>1077</v>
      </c>
      <c r="D450" s="109" t="s">
        <v>717</v>
      </c>
      <c r="E450" s="109" t="s">
        <v>728</v>
      </c>
    </row>
    <row r="451" customFormat="false" ht="14.25" hidden="false" customHeight="false" outlineLevel="0" collapsed="false">
      <c r="A451" s="108" t="n">
        <v>477</v>
      </c>
      <c r="B451" s="109" t="s">
        <v>1078</v>
      </c>
      <c r="D451" s="109" t="s">
        <v>717</v>
      </c>
      <c r="E451" s="109" t="s">
        <v>728</v>
      </c>
    </row>
    <row r="452" customFormat="false" ht="14.25" hidden="false" customHeight="false" outlineLevel="0" collapsed="false">
      <c r="A452" s="108" t="n">
        <v>478</v>
      </c>
      <c r="B452" s="109" t="s">
        <v>1079</v>
      </c>
      <c r="D452" s="109" t="s">
        <v>717</v>
      </c>
      <c r="E452" s="109" t="s">
        <v>728</v>
      </c>
    </row>
    <row r="453" customFormat="false" ht="14.25" hidden="false" customHeight="false" outlineLevel="0" collapsed="false">
      <c r="A453" s="108" t="n">
        <v>479</v>
      </c>
      <c r="B453" s="109" t="s">
        <v>1080</v>
      </c>
      <c r="D453" s="109" t="s">
        <v>717</v>
      </c>
      <c r="E453" s="109" t="s">
        <v>728</v>
      </c>
    </row>
    <row r="454" customFormat="false" ht="14.25" hidden="false" customHeight="false" outlineLevel="0" collapsed="false">
      <c r="A454" s="108" t="n">
        <v>480</v>
      </c>
      <c r="B454" s="109" t="s">
        <v>1081</v>
      </c>
      <c r="D454" s="109" t="s">
        <v>717</v>
      </c>
      <c r="E454" s="109" t="s">
        <v>728</v>
      </c>
    </row>
    <row r="455" customFormat="false" ht="14.25" hidden="false" customHeight="false" outlineLevel="0" collapsed="false">
      <c r="A455" s="108" t="n">
        <v>481</v>
      </c>
      <c r="B455" s="109" t="s">
        <v>1082</v>
      </c>
      <c r="D455" s="109" t="s">
        <v>717</v>
      </c>
      <c r="E455" s="109" t="s">
        <v>728</v>
      </c>
    </row>
    <row r="456" customFormat="false" ht="14.25" hidden="false" customHeight="false" outlineLevel="0" collapsed="false">
      <c r="A456" s="108" t="n">
        <v>482</v>
      </c>
      <c r="B456" s="109" t="s">
        <v>679</v>
      </c>
      <c r="D456" s="109" t="s">
        <v>717</v>
      </c>
      <c r="E456" s="109" t="s">
        <v>728</v>
      </c>
    </row>
    <row r="457" customFormat="false" ht="14.25" hidden="false" customHeight="false" outlineLevel="0" collapsed="false">
      <c r="A457" s="108" t="n">
        <v>483</v>
      </c>
      <c r="B457" s="109" t="s">
        <v>1083</v>
      </c>
      <c r="D457" s="109" t="s">
        <v>717</v>
      </c>
      <c r="E457" s="109" t="s">
        <v>728</v>
      </c>
    </row>
    <row r="458" customFormat="false" ht="14.25" hidden="false" customHeight="false" outlineLevel="0" collapsed="false">
      <c r="A458" s="108" t="n">
        <v>484</v>
      </c>
      <c r="B458" s="109" t="s">
        <v>1084</v>
      </c>
      <c r="D458" s="109" t="s">
        <v>717</v>
      </c>
      <c r="E458" s="109" t="s">
        <v>728</v>
      </c>
    </row>
    <row r="459" customFormat="false" ht="14.25" hidden="false" customHeight="false" outlineLevel="0" collapsed="false">
      <c r="A459" s="108" t="n">
        <v>485</v>
      </c>
      <c r="B459" s="109" t="s">
        <v>1085</v>
      </c>
      <c r="D459" s="109" t="s">
        <v>717</v>
      </c>
      <c r="E459" s="109" t="s">
        <v>728</v>
      </c>
    </row>
    <row r="460" customFormat="false" ht="14.25" hidden="false" customHeight="false" outlineLevel="0" collapsed="false">
      <c r="A460" s="108" t="n">
        <v>486</v>
      </c>
      <c r="B460" s="109" t="s">
        <v>1086</v>
      </c>
      <c r="D460" s="109" t="s">
        <v>717</v>
      </c>
      <c r="E460" s="109" t="s">
        <v>728</v>
      </c>
    </row>
    <row r="461" customFormat="false" ht="14.25" hidden="false" customHeight="false" outlineLevel="0" collapsed="false">
      <c r="A461" s="108" t="n">
        <v>487</v>
      </c>
      <c r="B461" s="109" t="s">
        <v>1087</v>
      </c>
      <c r="D461" s="109" t="s">
        <v>717</v>
      </c>
      <c r="E461" s="109" t="s">
        <v>728</v>
      </c>
    </row>
    <row r="462" customFormat="false" ht="14.25" hidden="false" customHeight="false" outlineLevel="0" collapsed="false">
      <c r="A462" s="108" t="n">
        <v>488</v>
      </c>
      <c r="B462" s="109" t="s">
        <v>1088</v>
      </c>
      <c r="D462" s="109" t="s">
        <v>717</v>
      </c>
      <c r="E462" s="109" t="s">
        <v>728</v>
      </c>
    </row>
    <row r="463" customFormat="false" ht="14.25" hidden="false" customHeight="false" outlineLevel="0" collapsed="false">
      <c r="A463" s="108" t="n">
        <v>489</v>
      </c>
      <c r="B463" s="109" t="s">
        <v>1089</v>
      </c>
      <c r="D463" s="109" t="s">
        <v>717</v>
      </c>
      <c r="E463" s="109" t="s">
        <v>728</v>
      </c>
    </row>
    <row r="464" customFormat="false" ht="14.25" hidden="false" customHeight="false" outlineLevel="0" collapsed="false">
      <c r="A464" s="108" t="n">
        <v>490</v>
      </c>
      <c r="B464" s="109" t="s">
        <v>680</v>
      </c>
      <c r="D464" s="109" t="s">
        <v>717</v>
      </c>
      <c r="E464" s="109" t="s">
        <v>728</v>
      </c>
    </row>
    <row r="465" customFormat="false" ht="14.25" hidden="false" customHeight="false" outlineLevel="0" collapsed="false">
      <c r="A465" s="108" t="n">
        <v>491</v>
      </c>
      <c r="B465" s="109" t="s">
        <v>1090</v>
      </c>
      <c r="D465" s="109" t="s">
        <v>717</v>
      </c>
      <c r="E465" s="109" t="s">
        <v>728</v>
      </c>
    </row>
    <row r="466" customFormat="false" ht="14.25" hidden="false" customHeight="false" outlineLevel="0" collapsed="false">
      <c r="A466" s="108" t="n">
        <v>492</v>
      </c>
      <c r="B466" s="109" t="s">
        <v>1091</v>
      </c>
      <c r="D466" s="109" t="s">
        <v>717</v>
      </c>
      <c r="E466" s="109" t="s">
        <v>728</v>
      </c>
    </row>
    <row r="467" customFormat="false" ht="14.25" hidden="false" customHeight="false" outlineLevel="0" collapsed="false">
      <c r="A467" s="108" t="n">
        <v>493</v>
      </c>
      <c r="B467" s="109" t="s">
        <v>1092</v>
      </c>
      <c r="D467" s="109" t="s">
        <v>717</v>
      </c>
      <c r="E467" s="109" t="s">
        <v>728</v>
      </c>
      <c r="H467" s="109" t="s">
        <v>1093</v>
      </c>
    </row>
    <row r="468" customFormat="false" ht="14.25" hidden="false" customHeight="false" outlineLevel="0" collapsed="false">
      <c r="A468" s="108" t="n">
        <v>494</v>
      </c>
      <c r="B468" s="109" t="s">
        <v>1094</v>
      </c>
      <c r="D468" s="109" t="s">
        <v>717</v>
      </c>
      <c r="E468" s="109" t="s">
        <v>728</v>
      </c>
    </row>
    <row r="469" customFormat="false" ht="14.25" hidden="false" customHeight="false" outlineLevel="0" collapsed="false">
      <c r="A469" s="108" t="n">
        <v>495</v>
      </c>
      <c r="B469" s="109" t="s">
        <v>1095</v>
      </c>
      <c r="D469" s="109" t="s">
        <v>717</v>
      </c>
      <c r="E469" s="109" t="s">
        <v>728</v>
      </c>
    </row>
    <row r="470" customFormat="false" ht="14.25" hidden="false" customHeight="false" outlineLevel="0" collapsed="false">
      <c r="A470" s="108" t="n">
        <v>496</v>
      </c>
      <c r="B470" s="109" t="s">
        <v>1096</v>
      </c>
      <c r="D470" s="109" t="s">
        <v>717</v>
      </c>
      <c r="E470" s="109" t="s">
        <v>728</v>
      </c>
    </row>
    <row r="471" customFormat="false" ht="14.25" hidden="false" customHeight="false" outlineLevel="0" collapsed="false">
      <c r="A471" s="108" t="n">
        <v>497</v>
      </c>
      <c r="B471" s="109" t="s">
        <v>1097</v>
      </c>
      <c r="D471" s="109" t="s">
        <v>717</v>
      </c>
      <c r="E471" s="109" t="s">
        <v>728</v>
      </c>
    </row>
    <row r="472" customFormat="false" ht="14.25" hidden="false" customHeight="false" outlineLevel="0" collapsed="false">
      <c r="A472" s="108" t="n">
        <v>498</v>
      </c>
      <c r="B472" s="109" t="s">
        <v>1098</v>
      </c>
      <c r="D472" s="109" t="s">
        <v>717</v>
      </c>
      <c r="E472" s="109" t="s">
        <v>728</v>
      </c>
    </row>
    <row r="473" customFormat="false" ht="14.25" hidden="false" customHeight="false" outlineLevel="0" collapsed="false">
      <c r="A473" s="108" t="n">
        <v>499</v>
      </c>
      <c r="B473" s="109" t="s">
        <v>683</v>
      </c>
      <c r="D473" s="109" t="s">
        <v>717</v>
      </c>
      <c r="E473" s="109" t="s">
        <v>728</v>
      </c>
    </row>
    <row r="474" customFormat="false" ht="14.25" hidden="false" customHeight="false" outlineLevel="0" collapsed="false">
      <c r="A474" s="108" t="n">
        <v>500</v>
      </c>
      <c r="B474" s="109" t="s">
        <v>1099</v>
      </c>
      <c r="D474" s="109" t="s">
        <v>717</v>
      </c>
      <c r="E474" s="109" t="s">
        <v>728</v>
      </c>
    </row>
    <row r="475" customFormat="false" ht="14.25" hidden="false" customHeight="false" outlineLevel="0" collapsed="false">
      <c r="A475" s="108" t="n">
        <v>501</v>
      </c>
      <c r="B475" s="109" t="s">
        <v>1100</v>
      </c>
      <c r="D475" s="109" t="s">
        <v>717</v>
      </c>
      <c r="E475" s="109" t="s">
        <v>728</v>
      </c>
    </row>
    <row r="476" customFormat="false" ht="14.25" hidden="false" customHeight="false" outlineLevel="0" collapsed="false">
      <c r="A476" s="108" t="n">
        <v>502</v>
      </c>
      <c r="B476" s="109" t="s">
        <v>1101</v>
      </c>
      <c r="D476" s="109" t="s">
        <v>717</v>
      </c>
      <c r="E476" s="109" t="s">
        <v>728</v>
      </c>
    </row>
    <row r="477" customFormat="false" ht="14.25" hidden="false" customHeight="false" outlineLevel="0" collapsed="false">
      <c r="A477" s="108" t="n">
        <v>503</v>
      </c>
      <c r="B477" s="109" t="s">
        <v>1102</v>
      </c>
      <c r="D477" s="109" t="s">
        <v>717</v>
      </c>
      <c r="E477" s="109" t="s">
        <v>728</v>
      </c>
    </row>
    <row r="478" customFormat="false" ht="14.25" hidden="false" customHeight="false" outlineLevel="0" collapsed="false">
      <c r="A478" s="108" t="n">
        <v>504</v>
      </c>
      <c r="B478" s="109" t="s">
        <v>1103</v>
      </c>
      <c r="D478" s="109" t="s">
        <v>717</v>
      </c>
      <c r="E478" s="109" t="s">
        <v>728</v>
      </c>
    </row>
    <row r="479" customFormat="false" ht="14.25" hidden="false" customHeight="false" outlineLevel="0" collapsed="false">
      <c r="A479" s="108" t="n">
        <v>505</v>
      </c>
      <c r="B479" s="109" t="s">
        <v>1104</v>
      </c>
      <c r="D479" s="109" t="s">
        <v>717</v>
      </c>
      <c r="E479" s="109" t="s">
        <v>728</v>
      </c>
    </row>
    <row r="480" customFormat="false" ht="14.25" hidden="false" customHeight="false" outlineLevel="0" collapsed="false">
      <c r="A480" s="108" t="n">
        <v>506</v>
      </c>
      <c r="B480" s="109" t="s">
        <v>1105</v>
      </c>
      <c r="D480" s="109" t="s">
        <v>717</v>
      </c>
      <c r="E480" s="109" t="s">
        <v>728</v>
      </c>
    </row>
    <row r="481" customFormat="false" ht="14.25" hidden="false" customHeight="false" outlineLevel="0" collapsed="false">
      <c r="A481" s="108" t="n">
        <v>507</v>
      </c>
      <c r="B481" s="109" t="s">
        <v>1106</v>
      </c>
      <c r="D481" s="109" t="s">
        <v>717</v>
      </c>
      <c r="E481" s="109" t="s">
        <v>728</v>
      </c>
    </row>
    <row r="482" customFormat="false" ht="14.25" hidden="false" customHeight="false" outlineLevel="0" collapsed="false">
      <c r="A482" s="108" t="n">
        <v>508</v>
      </c>
      <c r="B482" s="109" t="s">
        <v>1107</v>
      </c>
      <c r="D482" s="109" t="s">
        <v>717</v>
      </c>
      <c r="E482" s="109" t="s">
        <v>728</v>
      </c>
    </row>
    <row r="483" customFormat="false" ht="14.25" hidden="false" customHeight="false" outlineLevel="0" collapsed="false">
      <c r="A483" s="108" t="n">
        <v>509</v>
      </c>
      <c r="B483" s="109" t="s">
        <v>1108</v>
      </c>
      <c r="D483" s="109" t="s">
        <v>717</v>
      </c>
      <c r="E483" s="109" t="s">
        <v>728</v>
      </c>
    </row>
    <row r="484" customFormat="false" ht="14.25" hidden="false" customHeight="false" outlineLevel="0" collapsed="false">
      <c r="A484" s="108" t="n">
        <v>510</v>
      </c>
      <c r="B484" s="109" t="s">
        <v>1109</v>
      </c>
      <c r="D484" s="109" t="s">
        <v>717</v>
      </c>
      <c r="E484" s="109" t="s">
        <v>728</v>
      </c>
    </row>
    <row r="485" customFormat="false" ht="14.25" hidden="false" customHeight="false" outlineLevel="0" collapsed="false">
      <c r="A485" s="108" t="n">
        <v>511</v>
      </c>
      <c r="B485" s="109" t="s">
        <v>1110</v>
      </c>
      <c r="D485" s="109" t="s">
        <v>717</v>
      </c>
      <c r="E485" s="109" t="s">
        <v>728</v>
      </c>
    </row>
    <row r="486" customFormat="false" ht="14.25" hidden="false" customHeight="false" outlineLevel="0" collapsed="false">
      <c r="A486" s="108" t="n">
        <v>512</v>
      </c>
      <c r="B486" s="109" t="s">
        <v>1111</v>
      </c>
      <c r="D486" s="109" t="s">
        <v>717</v>
      </c>
      <c r="E486" s="109" t="s">
        <v>728</v>
      </c>
    </row>
    <row r="487" customFormat="false" ht="14.25" hidden="false" customHeight="false" outlineLevel="0" collapsed="false">
      <c r="A487" s="108" t="n">
        <v>513</v>
      </c>
      <c r="B487" s="109" t="s">
        <v>1112</v>
      </c>
      <c r="D487" s="109" t="s">
        <v>717</v>
      </c>
      <c r="E487" s="109" t="s">
        <v>728</v>
      </c>
    </row>
    <row r="488" customFormat="false" ht="14.25" hidden="false" customHeight="false" outlineLevel="0" collapsed="false">
      <c r="A488" s="108" t="n">
        <v>514</v>
      </c>
      <c r="B488" s="109" t="s">
        <v>1113</v>
      </c>
      <c r="D488" s="109" t="s">
        <v>717</v>
      </c>
      <c r="E488" s="109" t="s">
        <v>728</v>
      </c>
    </row>
    <row r="489" customFormat="false" ht="14.25" hidden="false" customHeight="false" outlineLevel="0" collapsed="false">
      <c r="A489" s="108" t="n">
        <v>515</v>
      </c>
      <c r="B489" s="109" t="s">
        <v>685</v>
      </c>
      <c r="D489" s="109" t="s">
        <v>717</v>
      </c>
      <c r="E489" s="109" t="s">
        <v>728</v>
      </c>
    </row>
    <row r="490" customFormat="false" ht="14.25" hidden="false" customHeight="false" outlineLevel="0" collapsed="false">
      <c r="A490" s="108" t="n">
        <v>516</v>
      </c>
      <c r="B490" s="109" t="s">
        <v>1114</v>
      </c>
      <c r="D490" s="109" t="s">
        <v>717</v>
      </c>
      <c r="E490" s="109" t="s">
        <v>728</v>
      </c>
    </row>
    <row r="491" customFormat="false" ht="14.25" hidden="false" customHeight="false" outlineLevel="0" collapsed="false">
      <c r="A491" s="108" t="n">
        <v>517</v>
      </c>
      <c r="B491" s="109" t="s">
        <v>1115</v>
      </c>
      <c r="D491" s="109" t="s">
        <v>717</v>
      </c>
      <c r="E491" s="109" t="s">
        <v>728</v>
      </c>
    </row>
    <row r="492" customFormat="false" ht="14.25" hidden="false" customHeight="false" outlineLevel="0" collapsed="false">
      <c r="A492" s="108" t="n">
        <v>518</v>
      </c>
      <c r="B492" s="109" t="s">
        <v>687</v>
      </c>
      <c r="D492" s="109" t="s">
        <v>717</v>
      </c>
      <c r="E492" s="109" t="s">
        <v>728</v>
      </c>
    </row>
    <row r="493" customFormat="false" ht="14.25" hidden="false" customHeight="false" outlineLevel="0" collapsed="false">
      <c r="A493" s="108" t="n">
        <v>519</v>
      </c>
      <c r="B493" s="109" t="s">
        <v>689</v>
      </c>
      <c r="D493" s="109" t="s">
        <v>717</v>
      </c>
      <c r="E493" s="109" t="s">
        <v>728</v>
      </c>
    </row>
    <row r="494" customFormat="false" ht="14.25" hidden="false" customHeight="false" outlineLevel="0" collapsed="false">
      <c r="A494" s="108" t="n">
        <v>520</v>
      </c>
      <c r="B494" s="109" t="s">
        <v>690</v>
      </c>
      <c r="D494" s="109" t="s">
        <v>717</v>
      </c>
      <c r="E494" s="109" t="s">
        <v>728</v>
      </c>
    </row>
    <row r="495" customFormat="false" ht="14.25" hidden="false" customHeight="false" outlineLevel="0" collapsed="false">
      <c r="A495" s="108" t="n">
        <v>521</v>
      </c>
      <c r="B495" s="109" t="s">
        <v>1116</v>
      </c>
      <c r="D495" s="109" t="s">
        <v>717</v>
      </c>
      <c r="E495" s="109" t="s">
        <v>728</v>
      </c>
    </row>
    <row r="496" customFormat="false" ht="14.25" hidden="false" customHeight="false" outlineLevel="0" collapsed="false">
      <c r="A496" s="108" t="n">
        <v>522</v>
      </c>
      <c r="B496" s="109" t="s">
        <v>1117</v>
      </c>
      <c r="D496" s="109" t="s">
        <v>717</v>
      </c>
      <c r="E496" s="109" t="s">
        <v>728</v>
      </c>
    </row>
    <row r="497" customFormat="false" ht="14.25" hidden="false" customHeight="false" outlineLevel="0" collapsed="false">
      <c r="A497" s="108" t="n">
        <v>523</v>
      </c>
      <c r="B497" s="109" t="s">
        <v>1118</v>
      </c>
      <c r="D497" s="109" t="s">
        <v>717</v>
      </c>
      <c r="E497" s="109" t="s">
        <v>728</v>
      </c>
    </row>
    <row r="498" customFormat="false" ht="14.25" hidden="false" customHeight="false" outlineLevel="0" collapsed="false">
      <c r="A498" s="108" t="n">
        <v>524</v>
      </c>
      <c r="B498" s="109" t="s">
        <v>1119</v>
      </c>
      <c r="D498" s="109" t="s">
        <v>717</v>
      </c>
      <c r="E498" s="109" t="s">
        <v>728</v>
      </c>
    </row>
    <row r="499" customFormat="false" ht="14.25" hidden="false" customHeight="false" outlineLevel="0" collapsed="false">
      <c r="A499" s="108" t="n">
        <v>525</v>
      </c>
      <c r="B499" s="109" t="s">
        <v>1120</v>
      </c>
      <c r="D499" s="109" t="s">
        <v>717</v>
      </c>
      <c r="E499" s="109" t="s">
        <v>728</v>
      </c>
    </row>
    <row r="500" customFormat="false" ht="14.25" hidden="false" customHeight="false" outlineLevel="0" collapsed="false">
      <c r="A500" s="108" t="n">
        <v>526</v>
      </c>
      <c r="B500" s="109" t="s">
        <v>1121</v>
      </c>
      <c r="D500" s="109" t="s">
        <v>717</v>
      </c>
      <c r="E500" s="109" t="s">
        <v>728</v>
      </c>
    </row>
    <row r="501" customFormat="false" ht="14.25" hidden="false" customHeight="false" outlineLevel="0" collapsed="false">
      <c r="A501" s="108" t="n">
        <v>527</v>
      </c>
      <c r="B501" s="109" t="s">
        <v>1122</v>
      </c>
      <c r="D501" s="109" t="s">
        <v>717</v>
      </c>
      <c r="E501" s="109" t="s">
        <v>728</v>
      </c>
    </row>
    <row r="502" customFormat="false" ht="14.25" hidden="false" customHeight="false" outlineLevel="0" collapsed="false">
      <c r="A502" s="108" t="n">
        <v>528</v>
      </c>
      <c r="B502" s="109" t="s">
        <v>1123</v>
      </c>
      <c r="D502" s="109" t="s">
        <v>717</v>
      </c>
      <c r="E502" s="109" t="s">
        <v>728</v>
      </c>
    </row>
    <row r="503" customFormat="false" ht="14.25" hidden="false" customHeight="false" outlineLevel="0" collapsed="false">
      <c r="A503" s="108" t="n">
        <v>529</v>
      </c>
      <c r="B503" s="109" t="s">
        <v>1124</v>
      </c>
      <c r="D503" s="109" t="s">
        <v>717</v>
      </c>
      <c r="E503" s="109" t="s">
        <v>728</v>
      </c>
    </row>
    <row r="504" customFormat="false" ht="14.25" hidden="false" customHeight="false" outlineLevel="0" collapsed="false">
      <c r="A504" s="108" t="n">
        <v>530</v>
      </c>
      <c r="B504" s="109" t="s">
        <v>1125</v>
      </c>
      <c r="D504" s="109" t="s">
        <v>717</v>
      </c>
      <c r="E504" s="109" t="s">
        <v>728</v>
      </c>
    </row>
    <row r="505" customFormat="false" ht="14.25" hidden="false" customHeight="false" outlineLevel="0" collapsed="false">
      <c r="A505" s="108" t="n">
        <v>531</v>
      </c>
      <c r="B505" s="109" t="s">
        <v>1126</v>
      </c>
      <c r="D505" s="109" t="s">
        <v>717</v>
      </c>
      <c r="E505" s="109" t="s">
        <v>728</v>
      </c>
    </row>
    <row r="506" customFormat="false" ht="14.25" hidden="false" customHeight="false" outlineLevel="0" collapsed="false">
      <c r="A506" s="108" t="n">
        <v>532</v>
      </c>
      <c r="B506" s="109" t="s">
        <v>1127</v>
      </c>
      <c r="D506" s="109" t="s">
        <v>717</v>
      </c>
      <c r="E506" s="109" t="s">
        <v>728</v>
      </c>
    </row>
    <row r="507" customFormat="false" ht="14.25" hidden="false" customHeight="false" outlineLevel="0" collapsed="false">
      <c r="A507" s="108" t="n">
        <v>533</v>
      </c>
      <c r="B507" s="109" t="s">
        <v>695</v>
      </c>
      <c r="D507" s="109" t="s">
        <v>717</v>
      </c>
      <c r="E507" s="109" t="s">
        <v>728</v>
      </c>
    </row>
    <row r="508" customFormat="false" ht="14.25" hidden="false" customHeight="false" outlineLevel="0" collapsed="false">
      <c r="A508" s="108" t="n">
        <v>534</v>
      </c>
      <c r="B508" s="109" t="s">
        <v>1128</v>
      </c>
      <c r="D508" s="109" t="s">
        <v>717</v>
      </c>
      <c r="E508" s="109" t="s">
        <v>728</v>
      </c>
    </row>
    <row r="509" customFormat="false" ht="14.25" hidden="false" customHeight="false" outlineLevel="0" collapsed="false">
      <c r="A509" s="108" t="n">
        <v>535</v>
      </c>
      <c r="B509" s="109" t="s">
        <v>1129</v>
      </c>
      <c r="D509" s="109" t="s">
        <v>717</v>
      </c>
      <c r="E509" s="109" t="s">
        <v>728</v>
      </c>
    </row>
    <row r="510" customFormat="false" ht="14.25" hidden="false" customHeight="false" outlineLevel="0" collapsed="false">
      <c r="A510" s="108" t="n">
        <v>536</v>
      </c>
      <c r="B510" s="109" t="s">
        <v>1130</v>
      </c>
      <c r="D510" s="109" t="s">
        <v>717</v>
      </c>
      <c r="E510" s="109" t="s">
        <v>728</v>
      </c>
    </row>
    <row r="511" customFormat="false" ht="14.25" hidden="false" customHeight="false" outlineLevel="0" collapsed="false">
      <c r="A511" s="108" t="n">
        <v>537</v>
      </c>
      <c r="B511" s="109" t="s">
        <v>1131</v>
      </c>
      <c r="D511" s="109" t="s">
        <v>717</v>
      </c>
      <c r="E511" s="109" t="s">
        <v>728</v>
      </c>
    </row>
    <row r="512" customFormat="false" ht="14.25" hidden="false" customHeight="false" outlineLevel="0" collapsed="false">
      <c r="A512" s="108" t="n">
        <v>538</v>
      </c>
      <c r="B512" s="109" t="s">
        <v>1132</v>
      </c>
      <c r="D512" s="109" t="s">
        <v>717</v>
      </c>
      <c r="E512" s="109" t="s">
        <v>728</v>
      </c>
    </row>
    <row r="513" customFormat="false" ht="14.25" hidden="false" customHeight="false" outlineLevel="0" collapsed="false">
      <c r="A513" s="108" t="n">
        <v>539</v>
      </c>
      <c r="B513" s="109" t="s">
        <v>1133</v>
      </c>
      <c r="D513" s="109" t="s">
        <v>717</v>
      </c>
      <c r="E513" s="109" t="s">
        <v>728</v>
      </c>
    </row>
    <row r="514" customFormat="false" ht="14.25" hidden="false" customHeight="false" outlineLevel="0" collapsed="false">
      <c r="A514" s="108" t="n">
        <v>540</v>
      </c>
      <c r="B514" s="109" t="s">
        <v>1134</v>
      </c>
      <c r="D514" s="109" t="s">
        <v>717</v>
      </c>
      <c r="E514" s="109" t="s">
        <v>728</v>
      </c>
    </row>
    <row r="515" customFormat="false" ht="14.25" hidden="false" customHeight="false" outlineLevel="0" collapsed="false">
      <c r="A515" s="108" t="n">
        <v>541</v>
      </c>
      <c r="B515" s="109" t="s">
        <v>1135</v>
      </c>
      <c r="D515" s="109" t="s">
        <v>717</v>
      </c>
      <c r="E515" s="109" t="s">
        <v>728</v>
      </c>
    </row>
    <row r="516" customFormat="false" ht="14.25" hidden="false" customHeight="false" outlineLevel="0" collapsed="false">
      <c r="A516" s="108" t="n">
        <v>542</v>
      </c>
      <c r="B516" s="109" t="s">
        <v>1136</v>
      </c>
      <c r="D516" s="109" t="s">
        <v>717</v>
      </c>
      <c r="E516" s="109" t="s">
        <v>728</v>
      </c>
    </row>
    <row r="517" customFormat="false" ht="14.25" hidden="false" customHeight="false" outlineLevel="0" collapsed="false">
      <c r="A517" s="108" t="n">
        <v>543</v>
      </c>
      <c r="B517" s="109" t="s">
        <v>1137</v>
      </c>
      <c r="D517" s="109" t="s">
        <v>717</v>
      </c>
      <c r="E517" s="109" t="s">
        <v>728</v>
      </c>
    </row>
    <row r="518" customFormat="false" ht="14.25" hidden="false" customHeight="false" outlineLevel="0" collapsed="false">
      <c r="A518" s="108" t="n">
        <v>544</v>
      </c>
      <c r="B518" s="109" t="s">
        <v>1138</v>
      </c>
      <c r="D518" s="109" t="s">
        <v>717</v>
      </c>
      <c r="E518" s="109" t="s">
        <v>728</v>
      </c>
    </row>
    <row r="519" customFormat="false" ht="14.25" hidden="false" customHeight="false" outlineLevel="0" collapsed="false">
      <c r="A519" s="108" t="n">
        <v>545</v>
      </c>
      <c r="B519" s="109" t="s">
        <v>694</v>
      </c>
      <c r="D519" s="109" t="s">
        <v>717</v>
      </c>
      <c r="E519" s="109" t="s">
        <v>728</v>
      </c>
    </row>
    <row r="520" customFormat="false" ht="14.25" hidden="false" customHeight="false" outlineLevel="0" collapsed="false">
      <c r="A520" s="108" t="n">
        <v>546</v>
      </c>
      <c r="B520" s="109" t="s">
        <v>1139</v>
      </c>
      <c r="D520" s="109" t="s">
        <v>717</v>
      </c>
      <c r="E520" s="109" t="s">
        <v>728</v>
      </c>
    </row>
    <row r="521" customFormat="false" ht="14.25" hidden="false" customHeight="false" outlineLevel="0" collapsed="false">
      <c r="A521" s="108" t="n">
        <v>547</v>
      </c>
      <c r="B521" s="109" t="s">
        <v>916</v>
      </c>
      <c r="D521" s="109" t="s">
        <v>717</v>
      </c>
      <c r="E521" s="109" t="s">
        <v>728</v>
      </c>
    </row>
    <row r="522" customFormat="false" ht="14.25" hidden="false" customHeight="false" outlineLevel="0" collapsed="false">
      <c r="A522" s="108" t="n">
        <v>548</v>
      </c>
      <c r="B522" s="109" t="s">
        <v>1140</v>
      </c>
      <c r="D522" s="109" t="s">
        <v>717</v>
      </c>
      <c r="E522" s="109" t="s">
        <v>728</v>
      </c>
    </row>
    <row r="523" customFormat="false" ht="14.25" hidden="false" customHeight="false" outlineLevel="0" collapsed="false">
      <c r="A523" s="108" t="n">
        <v>549</v>
      </c>
      <c r="B523" s="109" t="s">
        <v>1141</v>
      </c>
      <c r="D523" s="109" t="s">
        <v>717</v>
      </c>
      <c r="E523" s="109" t="s">
        <v>728</v>
      </c>
    </row>
    <row r="524" customFormat="false" ht="14.25" hidden="false" customHeight="false" outlineLevel="0" collapsed="false">
      <c r="A524" s="108" t="n">
        <v>550</v>
      </c>
      <c r="B524" s="109" t="s">
        <v>1142</v>
      </c>
      <c r="D524" s="109" t="s">
        <v>717</v>
      </c>
      <c r="E524" s="109" t="s">
        <v>728</v>
      </c>
    </row>
    <row r="525" customFormat="false" ht="14.25" hidden="false" customHeight="false" outlineLevel="0" collapsed="false">
      <c r="A525" s="108" t="n">
        <v>551</v>
      </c>
      <c r="B525" s="109" t="s">
        <v>1143</v>
      </c>
      <c r="D525" s="109" t="s">
        <v>717</v>
      </c>
      <c r="E525" s="109" t="s">
        <v>728</v>
      </c>
    </row>
    <row r="526" customFormat="false" ht="14.25" hidden="false" customHeight="false" outlineLevel="0" collapsed="false">
      <c r="A526" s="108" t="n">
        <v>552</v>
      </c>
      <c r="B526" s="109" t="s">
        <v>1144</v>
      </c>
      <c r="D526" s="109" t="s">
        <v>717</v>
      </c>
      <c r="E526" s="109" t="s">
        <v>728</v>
      </c>
    </row>
    <row r="527" customFormat="false" ht="14.25" hidden="false" customHeight="false" outlineLevel="0" collapsed="false">
      <c r="A527" s="108" t="n">
        <v>553</v>
      </c>
      <c r="B527" s="109" t="s">
        <v>1145</v>
      </c>
      <c r="D527" s="109" t="s">
        <v>717</v>
      </c>
      <c r="E527" s="109" t="s">
        <v>728</v>
      </c>
    </row>
    <row r="528" customFormat="false" ht="14.25" hidden="false" customHeight="false" outlineLevel="0" collapsed="false">
      <c r="A528" s="108" t="n">
        <v>554</v>
      </c>
      <c r="B528" s="109" t="s">
        <v>1146</v>
      </c>
      <c r="D528" s="109" t="s">
        <v>717</v>
      </c>
      <c r="E528" s="109" t="s">
        <v>728</v>
      </c>
    </row>
    <row r="529" customFormat="false" ht="14.25" hidden="false" customHeight="false" outlineLevel="0" collapsed="false">
      <c r="A529" s="108" t="n">
        <v>555</v>
      </c>
      <c r="B529" s="109" t="s">
        <v>1147</v>
      </c>
      <c r="D529" s="109" t="s">
        <v>717</v>
      </c>
      <c r="E529" s="109" t="s">
        <v>728</v>
      </c>
    </row>
    <row r="530" customFormat="false" ht="14.25" hidden="false" customHeight="false" outlineLevel="0" collapsed="false">
      <c r="A530" s="108" t="n">
        <v>556</v>
      </c>
      <c r="B530" s="109" t="s">
        <v>1148</v>
      </c>
      <c r="D530" s="109" t="s">
        <v>717</v>
      </c>
      <c r="E530" s="109" t="s">
        <v>728</v>
      </c>
    </row>
    <row r="531" customFormat="false" ht="14.25" hidden="false" customHeight="false" outlineLevel="0" collapsed="false">
      <c r="A531" s="108" t="n">
        <v>557</v>
      </c>
      <c r="B531" s="109" t="s">
        <v>1149</v>
      </c>
      <c r="D531" s="109" t="s">
        <v>717</v>
      </c>
      <c r="E531" s="109" t="s">
        <v>728</v>
      </c>
    </row>
    <row r="532" customFormat="false" ht="14.25" hidden="false" customHeight="false" outlineLevel="0" collapsed="false">
      <c r="A532" s="108" t="n">
        <v>558</v>
      </c>
      <c r="B532" s="109" t="s">
        <v>1150</v>
      </c>
      <c r="D532" s="109" t="s">
        <v>717</v>
      </c>
      <c r="E532" s="109" t="s">
        <v>728</v>
      </c>
    </row>
    <row r="533" customFormat="false" ht="14.25" hidden="false" customHeight="false" outlineLevel="0" collapsed="false">
      <c r="A533" s="108" t="n">
        <v>559</v>
      </c>
      <c r="B533" s="109" t="s">
        <v>1151</v>
      </c>
      <c r="D533" s="109" t="s">
        <v>717</v>
      </c>
      <c r="E533" s="109" t="s">
        <v>728</v>
      </c>
    </row>
    <row r="534" customFormat="false" ht="14.25" hidden="false" customHeight="false" outlineLevel="0" collapsed="false">
      <c r="A534" s="108" t="n">
        <v>560</v>
      </c>
      <c r="B534" s="109" t="s">
        <v>1152</v>
      </c>
      <c r="D534" s="109" t="s">
        <v>717</v>
      </c>
      <c r="E534" s="109" t="s">
        <v>728</v>
      </c>
    </row>
    <row r="535" customFormat="false" ht="14.25" hidden="false" customHeight="false" outlineLevel="0" collapsed="false">
      <c r="A535" s="108" t="n">
        <v>561</v>
      </c>
      <c r="B535" s="109" t="s">
        <v>698</v>
      </c>
      <c r="D535" s="109" t="s">
        <v>717</v>
      </c>
      <c r="E535" s="109" t="s">
        <v>728</v>
      </c>
    </row>
    <row r="536" customFormat="false" ht="14.25" hidden="false" customHeight="false" outlineLevel="0" collapsed="false">
      <c r="A536" s="108" t="n">
        <v>562</v>
      </c>
      <c r="B536" s="109" t="s">
        <v>1153</v>
      </c>
      <c r="D536" s="109" t="s">
        <v>717</v>
      </c>
      <c r="E536" s="109" t="s">
        <v>728</v>
      </c>
    </row>
    <row r="537" customFormat="false" ht="14.25" hidden="false" customHeight="false" outlineLevel="0" collapsed="false">
      <c r="A537" s="108" t="n">
        <v>563</v>
      </c>
      <c r="B537" s="109" t="s">
        <v>1154</v>
      </c>
      <c r="D537" s="109" t="s">
        <v>717</v>
      </c>
      <c r="E537" s="109" t="s">
        <v>728</v>
      </c>
    </row>
    <row r="538" customFormat="false" ht="14.25" hidden="false" customHeight="false" outlineLevel="0" collapsed="false">
      <c r="A538" s="108" t="n">
        <v>564</v>
      </c>
      <c r="B538" s="109" t="s">
        <v>1155</v>
      </c>
    </row>
    <row r="539" customFormat="false" ht="14.25" hidden="false" customHeight="false" outlineLevel="0" collapsed="false">
      <c r="A539" s="108" t="n">
        <v>565</v>
      </c>
      <c r="B539" s="109" t="s">
        <v>1156</v>
      </c>
      <c r="D539" s="109" t="s">
        <v>1157</v>
      </c>
      <c r="E539" s="109" t="s">
        <v>1158</v>
      </c>
    </row>
    <row r="540" customFormat="false" ht="14.25" hidden="false" customHeight="false" outlineLevel="0" collapsed="false">
      <c r="A540" s="108" t="n">
        <v>566</v>
      </c>
      <c r="B540" s="109" t="s">
        <v>1159</v>
      </c>
      <c r="D540" s="109" t="s">
        <v>657</v>
      </c>
      <c r="E540" s="109" t="s">
        <v>1022</v>
      </c>
    </row>
    <row r="541" customFormat="false" ht="14.25" hidden="false" customHeight="false" outlineLevel="0" collapsed="false">
      <c r="A541" s="108" t="n">
        <v>567</v>
      </c>
      <c r="B541" s="109" t="s">
        <v>697</v>
      </c>
      <c r="D541" s="109" t="s">
        <v>1160</v>
      </c>
      <c r="E541" s="109" t="s">
        <v>1161</v>
      </c>
    </row>
    <row r="542" customFormat="false" ht="14.25" hidden="false" customHeight="false" outlineLevel="0" collapsed="false">
      <c r="A542" s="108" t="n">
        <v>568</v>
      </c>
      <c r="B542" s="109" t="s">
        <v>682</v>
      </c>
      <c r="D542" s="109" t="s">
        <v>1160</v>
      </c>
      <c r="E542" s="109" t="s">
        <v>1161</v>
      </c>
    </row>
    <row r="543" customFormat="false" ht="14.25" hidden="false" customHeight="false" outlineLevel="0" collapsed="false">
      <c r="A543" s="108" t="n">
        <v>569</v>
      </c>
      <c r="B543" s="109" t="s">
        <v>1162</v>
      </c>
      <c r="D543" s="109" t="s">
        <v>1157</v>
      </c>
      <c r="E543" s="109" t="s">
        <v>1163</v>
      </c>
    </row>
    <row r="544" customFormat="false" ht="14.25" hidden="false" customHeight="false" outlineLevel="0" collapsed="false">
      <c r="A544" s="108" t="n">
        <v>570</v>
      </c>
      <c r="B544" s="109" t="s">
        <v>1164</v>
      </c>
      <c r="D544" s="109" t="s">
        <v>1160</v>
      </c>
      <c r="E544" s="109" t="s">
        <v>1165</v>
      </c>
    </row>
    <row r="545" customFormat="false" ht="14.25" hidden="false" customHeight="false" outlineLevel="0" collapsed="false">
      <c r="A545" s="108" t="n">
        <v>571</v>
      </c>
      <c r="B545" s="109" t="s">
        <v>1166</v>
      </c>
      <c r="D545" s="109" t="s">
        <v>1157</v>
      </c>
      <c r="E545" s="109" t="s">
        <v>1167</v>
      </c>
    </row>
    <row r="546" customFormat="false" ht="14.25" hidden="false" customHeight="false" outlineLevel="0" collapsed="false">
      <c r="A546" s="108" t="n">
        <v>572</v>
      </c>
      <c r="B546" s="109" t="s">
        <v>1168</v>
      </c>
      <c r="D546" s="109" t="s">
        <v>657</v>
      </c>
      <c r="E546" s="109" t="s">
        <v>1169</v>
      </c>
    </row>
    <row r="547" customFormat="false" ht="14.25" hidden="false" customHeight="false" outlineLevel="0" collapsed="false">
      <c r="A547" s="108" t="n">
        <v>573</v>
      </c>
      <c r="B547" s="109" t="s">
        <v>670</v>
      </c>
      <c r="D547" s="109" t="s">
        <v>657</v>
      </c>
      <c r="E547" s="109" t="s">
        <v>1169</v>
      </c>
    </row>
    <row r="548" customFormat="false" ht="14.25" hidden="false" customHeight="false" outlineLevel="0" collapsed="false">
      <c r="A548" s="108" t="n">
        <v>574</v>
      </c>
      <c r="B548" s="109" t="s">
        <v>1170</v>
      </c>
      <c r="D548" s="109" t="s">
        <v>1157</v>
      </c>
      <c r="E548" s="109" t="s">
        <v>1171</v>
      </c>
    </row>
    <row r="549" customFormat="false" ht="14.25" hidden="false" customHeight="false" outlineLevel="0" collapsed="false">
      <c r="A549" s="108" t="n">
        <v>575</v>
      </c>
      <c r="B549" s="109" t="s">
        <v>686</v>
      </c>
      <c r="D549" s="109" t="s">
        <v>1172</v>
      </c>
      <c r="E549" s="109" t="s">
        <v>1173</v>
      </c>
    </row>
    <row r="550" customFormat="false" ht="14.25" hidden="false" customHeight="false" outlineLevel="0" collapsed="false">
      <c r="A550" s="108" t="n">
        <v>576</v>
      </c>
      <c r="B550" s="109" t="s">
        <v>699</v>
      </c>
      <c r="D550" s="109" t="s">
        <v>1157</v>
      </c>
      <c r="E550" s="109" t="s">
        <v>1174</v>
      </c>
      <c r="H550" s="109" t="s">
        <v>1175</v>
      </c>
    </row>
    <row r="551" customFormat="false" ht="14.25" hidden="false" customHeight="false" outlineLevel="0" collapsed="false">
      <c r="A551" s="108" t="n">
        <v>577</v>
      </c>
      <c r="B551" s="109" t="s">
        <v>696</v>
      </c>
      <c r="D551" s="109" t="s">
        <v>1010</v>
      </c>
      <c r="E551" s="109" t="s">
        <v>1176</v>
      </c>
    </row>
    <row r="552" customFormat="false" ht="14.25" hidden="false" customHeight="false" outlineLevel="0" collapsed="false">
      <c r="A552" s="108" t="n">
        <v>578</v>
      </c>
      <c r="B552" s="109" t="s">
        <v>1177</v>
      </c>
      <c r="D552" s="109" t="s">
        <v>701</v>
      </c>
      <c r="E552" s="109" t="s">
        <v>1178</v>
      </c>
    </row>
    <row r="553" customFormat="false" ht="14.25" hidden="false" customHeight="false" outlineLevel="0" collapsed="false">
      <c r="A553" s="108" t="n">
        <v>579</v>
      </c>
      <c r="B553" s="109" t="s">
        <v>1179</v>
      </c>
      <c r="E553" s="109" t="s">
        <v>1180</v>
      </c>
      <c r="H553" s="109" t="n">
        <v>699949235</v>
      </c>
      <c r="I553" s="109" t="s">
        <v>1181</v>
      </c>
      <c r="K553" s="109" t="s">
        <v>1182</v>
      </c>
    </row>
    <row r="554" customFormat="false" ht="14.25" hidden="false" customHeight="false" outlineLevel="0" collapsed="false">
      <c r="A554" s="108" t="n">
        <v>580</v>
      </c>
      <c r="B554" s="109" t="s">
        <v>1183</v>
      </c>
      <c r="E554" s="109" t="s">
        <v>1184</v>
      </c>
      <c r="H554" s="109" t="n">
        <v>699504641</v>
      </c>
      <c r="I554" s="109" t="s">
        <v>1185</v>
      </c>
      <c r="K554" s="109" t="s">
        <v>1182</v>
      </c>
    </row>
    <row r="555" customFormat="false" ht="14.25" hidden="false" customHeight="false" outlineLevel="0" collapsed="false">
      <c r="A555" s="108" t="n">
        <v>581</v>
      </c>
      <c r="B555" s="109" t="s">
        <v>1186</v>
      </c>
      <c r="E555" s="109" t="s">
        <v>1187</v>
      </c>
      <c r="H555" s="109" t="n">
        <v>672608970</v>
      </c>
      <c r="I555" s="109" t="s">
        <v>1188</v>
      </c>
      <c r="K555" s="109" t="s">
        <v>1182</v>
      </c>
    </row>
    <row r="556" customFormat="false" ht="14.25" hidden="false" customHeight="false" outlineLevel="0" collapsed="false">
      <c r="A556" s="108" t="n">
        <v>582</v>
      </c>
      <c r="B556" s="109" t="s">
        <v>1189</v>
      </c>
      <c r="E556" s="109" t="s">
        <v>1184</v>
      </c>
      <c r="H556" s="109" t="n">
        <v>698287807</v>
      </c>
      <c r="I556" s="109" t="s">
        <v>1190</v>
      </c>
      <c r="K556" s="109" t="s">
        <v>1182</v>
      </c>
    </row>
    <row r="557" customFormat="false" ht="14.25" hidden="false" customHeight="false" outlineLevel="0" collapsed="false">
      <c r="A557" s="108" t="n">
        <v>583</v>
      </c>
      <c r="B557" s="109" t="s">
        <v>1191</v>
      </c>
      <c r="E557" s="109" t="s">
        <v>1192</v>
      </c>
      <c r="I557" s="109" t="s">
        <v>1193</v>
      </c>
      <c r="K557" s="109" t="s">
        <v>1182</v>
      </c>
    </row>
    <row r="558" customFormat="false" ht="14.25" hidden="false" customHeight="false" outlineLevel="0" collapsed="false">
      <c r="A558" s="108" t="n">
        <v>584</v>
      </c>
      <c r="B558" s="109" t="s">
        <v>1194</v>
      </c>
      <c r="C558" s="109" t="s">
        <v>1195</v>
      </c>
      <c r="E558" s="109" t="s">
        <v>728</v>
      </c>
      <c r="G558" s="109" t="n">
        <v>694394914</v>
      </c>
      <c r="H558" s="109" t="n">
        <v>675121802</v>
      </c>
      <c r="K558" s="109" t="s">
        <v>1196</v>
      </c>
      <c r="L558" s="109" t="s">
        <v>1197</v>
      </c>
      <c r="M558" s="109" t="s">
        <v>1198</v>
      </c>
    </row>
    <row r="559" customFormat="false" ht="14.25" hidden="false" customHeight="false" outlineLevel="0" collapsed="false">
      <c r="A559" s="108" t="n">
        <v>585</v>
      </c>
      <c r="B559" s="109" t="s">
        <v>1199</v>
      </c>
      <c r="C559" s="109" t="s">
        <v>1195</v>
      </c>
      <c r="E559" s="109" t="s">
        <v>1200</v>
      </c>
      <c r="G559" s="109" t="n">
        <v>694407222</v>
      </c>
      <c r="H559" s="109" t="n">
        <v>654104352</v>
      </c>
      <c r="K559" s="109" t="s">
        <v>1201</v>
      </c>
      <c r="L559" s="109" t="s">
        <v>1197</v>
      </c>
      <c r="M559" s="109" t="s">
        <v>1202</v>
      </c>
    </row>
    <row r="560" customFormat="false" ht="14.25" hidden="false" customHeight="false" outlineLevel="0" collapsed="false">
      <c r="A560" s="108" t="n">
        <v>586</v>
      </c>
      <c r="B560" s="109" t="s">
        <v>1203</v>
      </c>
      <c r="C560" s="109" t="s">
        <v>644</v>
      </c>
      <c r="E560" s="109" t="s">
        <v>728</v>
      </c>
      <c r="G560" s="109" t="n">
        <v>694295141</v>
      </c>
      <c r="L560" s="109" t="s">
        <v>1197</v>
      </c>
      <c r="M560" s="109" t="s">
        <v>1204</v>
      </c>
    </row>
    <row r="561" customFormat="false" ht="14.25" hidden="false" customHeight="false" outlineLevel="0" collapsed="false">
      <c r="A561" s="108" t="n">
        <v>587</v>
      </c>
      <c r="B561" s="109" t="s">
        <v>1205</v>
      </c>
      <c r="C561" s="109" t="s">
        <v>644</v>
      </c>
      <c r="E561" s="109" t="s">
        <v>1200</v>
      </c>
      <c r="G561" s="109" t="n">
        <v>650885266</v>
      </c>
      <c r="K561" s="109" t="s">
        <v>1204</v>
      </c>
      <c r="L561" s="109" t="s">
        <v>1206</v>
      </c>
      <c r="M561" s="109" t="s">
        <v>1197</v>
      </c>
    </row>
    <row r="562" customFormat="false" ht="14.25" hidden="false" customHeight="false" outlineLevel="0" collapsed="false">
      <c r="A562" s="108" t="n">
        <v>588</v>
      </c>
      <c r="B562" s="109" t="s">
        <v>126</v>
      </c>
      <c r="E562" s="109" t="s">
        <v>1207</v>
      </c>
      <c r="F562" s="109" t="s">
        <v>1208</v>
      </c>
      <c r="G562" s="109" t="n">
        <v>698384102</v>
      </c>
    </row>
    <row r="563" customFormat="false" ht="14.25" hidden="false" customHeight="false" outlineLevel="0" collapsed="false">
      <c r="A563" s="108" t="n">
        <v>589</v>
      </c>
      <c r="B563" s="109" t="s">
        <v>603</v>
      </c>
      <c r="E563" s="109" t="s">
        <v>842</v>
      </c>
      <c r="F563" s="109" t="s">
        <v>1209</v>
      </c>
      <c r="G563" s="109" t="s">
        <v>1210</v>
      </c>
    </row>
    <row r="564" customFormat="false" ht="14.25" hidden="false" customHeight="false" outlineLevel="0" collapsed="false">
      <c r="A564" s="108" t="n">
        <v>590</v>
      </c>
      <c r="B564" s="109" t="s">
        <v>611</v>
      </c>
      <c r="E564" s="109" t="s">
        <v>842</v>
      </c>
      <c r="F564" s="109" t="s">
        <v>613</v>
      </c>
      <c r="G564" s="109" t="n">
        <v>650106618</v>
      </c>
      <c r="H564" s="109" t="s">
        <v>1211</v>
      </c>
    </row>
    <row r="565" customFormat="false" ht="14.25" hidden="false" customHeight="false" outlineLevel="0" collapsed="false">
      <c r="A565" s="108" t="n">
        <v>591</v>
      </c>
      <c r="B565" s="109" t="s">
        <v>1212</v>
      </c>
      <c r="E565" s="109" t="s">
        <v>842</v>
      </c>
      <c r="F565" s="109" t="s">
        <v>618</v>
      </c>
      <c r="G565" s="109" t="s">
        <v>1213</v>
      </c>
    </row>
    <row r="566" customFormat="false" ht="14.25" hidden="false" customHeight="false" outlineLevel="0" collapsed="false">
      <c r="A566" s="108" t="n">
        <v>592</v>
      </c>
      <c r="B566" s="109" t="s">
        <v>145</v>
      </c>
      <c r="E566" s="109" t="s">
        <v>1214</v>
      </c>
      <c r="F566" s="109" t="s">
        <v>1215</v>
      </c>
      <c r="G566" s="109" t="s">
        <v>1216</v>
      </c>
      <c r="H566" s="109" t="s">
        <v>1217</v>
      </c>
    </row>
    <row r="567" customFormat="false" ht="14.25" hidden="false" customHeight="false" outlineLevel="0" collapsed="false">
      <c r="A567" s="108" t="n">
        <v>593</v>
      </c>
      <c r="B567" s="109" t="s">
        <v>1218</v>
      </c>
      <c r="E567" s="109" t="s">
        <v>1219</v>
      </c>
      <c r="G567" s="109" t="s">
        <v>1220</v>
      </c>
    </row>
    <row r="568" customFormat="false" ht="14.25" hidden="false" customHeight="false" outlineLevel="0" collapsed="false">
      <c r="A568" s="108" t="n">
        <v>594</v>
      </c>
      <c r="B568" s="109" t="s">
        <v>630</v>
      </c>
      <c r="E568" s="109" t="s">
        <v>1219</v>
      </c>
      <c r="G568" s="109" t="s">
        <v>1221</v>
      </c>
    </row>
    <row r="569" customFormat="false" ht="14.25" hidden="false" customHeight="false" outlineLevel="0" collapsed="false">
      <c r="A569" s="108" t="n">
        <v>595</v>
      </c>
      <c r="B569" s="109" t="s">
        <v>632</v>
      </c>
      <c r="E569" s="109" t="s">
        <v>1219</v>
      </c>
      <c r="G569" s="109" t="s">
        <v>1222</v>
      </c>
    </row>
    <row r="570" customFormat="false" ht="14.25" hidden="false" customHeight="false" outlineLevel="0" collapsed="false">
      <c r="A570" s="108" t="n">
        <v>596</v>
      </c>
      <c r="B570" s="109" t="s">
        <v>1223</v>
      </c>
    </row>
    <row r="571" customFormat="false" ht="14.25" hidden="false" customHeight="false" outlineLevel="0" collapsed="false">
      <c r="A571" s="108" t="n">
        <v>597</v>
      </c>
      <c r="B571" s="109" t="s">
        <v>866</v>
      </c>
      <c r="E571" s="109" t="s">
        <v>1224</v>
      </c>
      <c r="F571" s="109" t="s">
        <v>1225</v>
      </c>
      <c r="G571" s="109" t="n">
        <v>658958182</v>
      </c>
    </row>
    <row r="572" customFormat="false" ht="14.25" hidden="false" customHeight="false" outlineLevel="0" collapsed="false">
      <c r="A572" s="108" t="n">
        <v>598</v>
      </c>
      <c r="B572" s="109" t="s">
        <v>1226</v>
      </c>
      <c r="G572" s="109" t="n">
        <v>681924948</v>
      </c>
    </row>
    <row r="573" customFormat="false" ht="14.25" hidden="false" customHeight="false" outlineLevel="0" collapsed="false">
      <c r="A573" s="108" t="n">
        <v>599</v>
      </c>
      <c r="B573" s="109" t="s">
        <v>151</v>
      </c>
      <c r="F573" s="109" t="s">
        <v>1227</v>
      </c>
      <c r="G573" s="109" t="n">
        <v>682373136</v>
      </c>
    </row>
    <row r="574" customFormat="false" ht="14.25" hidden="false" customHeight="false" outlineLevel="0" collapsed="false">
      <c r="A574" s="108" t="n">
        <v>600</v>
      </c>
      <c r="B574" s="109" t="s">
        <v>530</v>
      </c>
      <c r="F574" s="109" t="s">
        <v>1228</v>
      </c>
      <c r="G574" s="109" t="n">
        <v>67751988</v>
      </c>
    </row>
    <row r="575" customFormat="false" ht="14.25" hidden="false" customHeight="false" outlineLevel="0" collapsed="false">
      <c r="A575" s="108" t="n">
        <v>601</v>
      </c>
      <c r="B575" s="109" t="s">
        <v>1229</v>
      </c>
    </row>
    <row r="576" customFormat="false" ht="14.25" hidden="false" customHeight="false" outlineLevel="0" collapsed="false">
      <c r="A576" s="108" t="n">
        <v>602</v>
      </c>
      <c r="B576" s="109" t="s">
        <v>1230</v>
      </c>
      <c r="G576" s="109" t="n">
        <v>678191718</v>
      </c>
    </row>
    <row r="577" customFormat="false" ht="14.25" hidden="false" customHeight="false" outlineLevel="0" collapsed="false">
      <c r="A577" s="108" t="n">
        <v>603</v>
      </c>
      <c r="B577" s="109" t="s">
        <v>1231</v>
      </c>
    </row>
    <row r="578" customFormat="false" ht="14.25" hidden="false" customHeight="false" outlineLevel="0" collapsed="false">
      <c r="A578" s="108" t="n">
        <v>604</v>
      </c>
      <c r="B578" s="109" t="s">
        <v>634</v>
      </c>
      <c r="G578" s="109" t="s">
        <v>1232</v>
      </c>
      <c r="K578" s="109" t="s">
        <v>1233</v>
      </c>
    </row>
    <row r="579" customFormat="false" ht="14.25" hidden="false" customHeight="false" outlineLevel="0" collapsed="false">
      <c r="A579" s="108" t="n">
        <v>605</v>
      </c>
      <c r="B579" s="109" t="s">
        <v>638</v>
      </c>
      <c r="G579" s="109" t="s">
        <v>1234</v>
      </c>
      <c r="K579" s="109" t="s">
        <v>640</v>
      </c>
    </row>
    <row r="580" customFormat="false" ht="14.25" hidden="false" customHeight="false" outlineLevel="0" collapsed="false">
      <c r="A580" s="108" t="n">
        <v>606</v>
      </c>
      <c r="B580" s="109" t="s">
        <v>641</v>
      </c>
      <c r="G580" s="109" t="s">
        <v>1235</v>
      </c>
      <c r="K580" s="109" t="s">
        <v>640</v>
      </c>
    </row>
    <row r="581" customFormat="false" ht="14.25" hidden="false" customHeight="false" outlineLevel="0" collapsed="false">
      <c r="A581" s="108" t="n">
        <v>607</v>
      </c>
      <c r="B581" s="109" t="s">
        <v>1236</v>
      </c>
      <c r="G581" s="109" t="s">
        <v>1237</v>
      </c>
      <c r="K581" s="109" t="s">
        <v>1238</v>
      </c>
    </row>
    <row r="582" customFormat="false" ht="14.25" hidden="false" customHeight="false" outlineLevel="0" collapsed="false">
      <c r="A582" s="108" t="n">
        <v>608</v>
      </c>
      <c r="B582" s="109" t="s">
        <v>1239</v>
      </c>
      <c r="D582" s="109" t="s">
        <v>657</v>
      </c>
      <c r="H582" s="109" t="s">
        <v>1240</v>
      </c>
      <c r="I582" s="109" t="s">
        <v>1241</v>
      </c>
      <c r="K582" s="109" t="s">
        <v>1242</v>
      </c>
      <c r="N582" s="109" t="s">
        <v>1242</v>
      </c>
    </row>
    <row r="583" customFormat="false" ht="14.25" hidden="false" customHeight="false" outlineLevel="0" collapsed="false">
      <c r="A583" s="108" t="n">
        <v>609</v>
      </c>
      <c r="B583" s="109" t="s">
        <v>385</v>
      </c>
      <c r="D583" s="109" t="s">
        <v>657</v>
      </c>
      <c r="H583" s="109" t="s">
        <v>1243</v>
      </c>
      <c r="I583" s="109" t="s">
        <v>1244</v>
      </c>
      <c r="K583" s="109" t="s">
        <v>1245</v>
      </c>
      <c r="L583" s="109" t="s">
        <v>1246</v>
      </c>
      <c r="N583" s="109" t="s">
        <v>1247</v>
      </c>
    </row>
    <row r="584" customFormat="false" ht="14.25" hidden="false" customHeight="false" outlineLevel="0" collapsed="false">
      <c r="A584" s="108" t="n">
        <v>610</v>
      </c>
      <c r="B584" s="109" t="s">
        <v>1248</v>
      </c>
      <c r="D584" s="109" t="s">
        <v>1249</v>
      </c>
      <c r="H584" s="109" t="s">
        <v>1250</v>
      </c>
      <c r="I584" s="109" t="s">
        <v>1251</v>
      </c>
      <c r="K584" s="109" t="s">
        <v>1252</v>
      </c>
      <c r="L584" s="109" t="s">
        <v>838</v>
      </c>
      <c r="N584" s="109" t="s">
        <v>1252</v>
      </c>
    </row>
    <row r="585" customFormat="false" ht="14.25" hidden="false" customHeight="false" outlineLevel="0" collapsed="false">
      <c r="A585" s="108" t="n">
        <v>611</v>
      </c>
      <c r="B585" s="109" t="s">
        <v>1253</v>
      </c>
      <c r="D585" s="109" t="s">
        <v>547</v>
      </c>
      <c r="H585" s="109" t="s">
        <v>1254</v>
      </c>
      <c r="I585" s="109" t="s">
        <v>1255</v>
      </c>
      <c r="K585" s="109" t="s">
        <v>1245</v>
      </c>
      <c r="L585" s="109" t="s">
        <v>1246</v>
      </c>
      <c r="M585" s="109" t="s">
        <v>1256</v>
      </c>
      <c r="N585" s="109" t="s">
        <v>1247</v>
      </c>
    </row>
    <row r="586" customFormat="false" ht="14.25" hidden="false" customHeight="false" outlineLevel="0" collapsed="false">
      <c r="A586" s="108" t="n">
        <v>612</v>
      </c>
      <c r="B586" s="109" t="s">
        <v>1257</v>
      </c>
      <c r="D586" s="109" t="s">
        <v>547</v>
      </c>
      <c r="H586" s="109" t="s">
        <v>1258</v>
      </c>
      <c r="I586" s="109" t="s">
        <v>1259</v>
      </c>
      <c r="K586" s="109" t="s">
        <v>1246</v>
      </c>
      <c r="L586" s="109" t="s">
        <v>1260</v>
      </c>
      <c r="N586" s="109" t="s">
        <v>1247</v>
      </c>
    </row>
    <row r="587" customFormat="false" ht="14.25" hidden="false" customHeight="false" outlineLevel="0" collapsed="false">
      <c r="A587" s="108" t="n">
        <v>613</v>
      </c>
      <c r="B587" s="109" t="s">
        <v>1261</v>
      </c>
      <c r="D587" s="109" t="s">
        <v>658</v>
      </c>
      <c r="H587" s="109" t="s">
        <v>1262</v>
      </c>
      <c r="I587" s="109" t="s">
        <v>1263</v>
      </c>
      <c r="K587" s="109" t="s">
        <v>1264</v>
      </c>
      <c r="N587" s="109" t="s">
        <v>1247</v>
      </c>
    </row>
    <row r="588" customFormat="false" ht="14.25" hidden="false" customHeight="false" outlineLevel="0" collapsed="false">
      <c r="A588" s="108" t="n">
        <v>614</v>
      </c>
      <c r="B588" s="109" t="s">
        <v>1265</v>
      </c>
      <c r="D588" s="109" t="s">
        <v>657</v>
      </c>
      <c r="H588" s="109" t="s">
        <v>1266</v>
      </c>
      <c r="I588" s="109" t="s">
        <v>1267</v>
      </c>
      <c r="K588" s="109" t="s">
        <v>1268</v>
      </c>
      <c r="L588" s="109" t="s">
        <v>1269</v>
      </c>
      <c r="N588" s="109" t="s">
        <v>1270</v>
      </c>
    </row>
    <row r="589" customFormat="false" ht="14.25" hidden="false" customHeight="false" outlineLevel="0" collapsed="false">
      <c r="A589" s="108" t="n">
        <v>615</v>
      </c>
      <c r="B589" s="109" t="s">
        <v>1271</v>
      </c>
      <c r="D589" s="109" t="s">
        <v>1272</v>
      </c>
      <c r="H589" s="109" t="s">
        <v>1273</v>
      </c>
      <c r="I589" s="109" t="s">
        <v>1274</v>
      </c>
      <c r="L589" s="109" t="s">
        <v>1269</v>
      </c>
      <c r="N589" s="109" t="s">
        <v>1270</v>
      </c>
    </row>
    <row r="590" customFormat="false" ht="14.25" hidden="false" customHeight="false" outlineLevel="0" collapsed="false">
      <c r="A590" s="108" t="n">
        <v>616</v>
      </c>
      <c r="B590" s="109" t="s">
        <v>1275</v>
      </c>
      <c r="D590" s="109" t="s">
        <v>1276</v>
      </c>
      <c r="H590" s="109" t="s">
        <v>1273</v>
      </c>
      <c r="I590" s="109" t="s">
        <v>1277</v>
      </c>
      <c r="K590" s="109" t="s">
        <v>1268</v>
      </c>
      <c r="N590" s="109" t="s">
        <v>1270</v>
      </c>
    </row>
    <row r="591" customFormat="false" ht="14.25" hidden="false" customHeight="false" outlineLevel="0" collapsed="false">
      <c r="A591" s="108" t="n">
        <v>617</v>
      </c>
      <c r="B591" s="109" t="s">
        <v>688</v>
      </c>
      <c r="D591" s="109" t="s">
        <v>662</v>
      </c>
      <c r="H591" s="109" t="n">
        <v>97158937626</v>
      </c>
      <c r="I591" s="109" t="s">
        <v>1278</v>
      </c>
      <c r="K591" s="109" t="s">
        <v>1279</v>
      </c>
      <c r="L591" s="109" t="s">
        <v>1280</v>
      </c>
      <c r="M591" s="109" t="s">
        <v>1281</v>
      </c>
      <c r="N591" s="109" t="s">
        <v>1247</v>
      </c>
    </row>
    <row r="592" customFormat="false" ht="14.25" hidden="false" customHeight="false" outlineLevel="0" collapsed="false">
      <c r="A592" s="108" t="n">
        <v>618</v>
      </c>
      <c r="B592" s="109" t="s">
        <v>1282</v>
      </c>
      <c r="D592" s="109" t="s">
        <v>662</v>
      </c>
      <c r="H592" s="109" t="s">
        <v>1283</v>
      </c>
      <c r="I592" s="109" t="s">
        <v>1284</v>
      </c>
      <c r="K592" s="109" t="s">
        <v>1246</v>
      </c>
      <c r="N592" s="109" t="s">
        <v>1247</v>
      </c>
    </row>
    <row r="593" customFormat="false" ht="14.25" hidden="false" customHeight="false" outlineLevel="0" collapsed="false">
      <c r="A593" s="108" t="n">
        <v>619</v>
      </c>
      <c r="B593" s="109" t="s">
        <v>1285</v>
      </c>
      <c r="D593" s="109" t="s">
        <v>662</v>
      </c>
      <c r="H593" s="109" t="s">
        <v>1286</v>
      </c>
      <c r="I593" s="109" t="s">
        <v>1287</v>
      </c>
      <c r="K593" s="109" t="s">
        <v>1288</v>
      </c>
      <c r="N593" s="109" t="s">
        <v>1289</v>
      </c>
    </row>
    <row r="594" customFormat="false" ht="14.25" hidden="false" customHeight="false" outlineLevel="0" collapsed="false">
      <c r="A594" s="108" t="n">
        <v>620</v>
      </c>
      <c r="B594" s="109" t="s">
        <v>1290</v>
      </c>
      <c r="D594" s="109" t="s">
        <v>718</v>
      </c>
      <c r="H594" s="109" t="s">
        <v>838</v>
      </c>
      <c r="I594" s="109" t="s">
        <v>1291</v>
      </c>
      <c r="K594" s="109" t="s">
        <v>1288</v>
      </c>
      <c r="L594" s="109" t="s">
        <v>1292</v>
      </c>
      <c r="M594" s="109" t="s">
        <v>838</v>
      </c>
      <c r="N594" s="109" t="s">
        <v>1289</v>
      </c>
    </row>
    <row r="595" customFormat="false" ht="14.25" hidden="false" customHeight="false" outlineLevel="0" collapsed="false">
      <c r="A595" s="108" t="n">
        <v>621</v>
      </c>
      <c r="B595" s="109" t="s">
        <v>1293</v>
      </c>
      <c r="D595" s="109" t="s">
        <v>702</v>
      </c>
      <c r="H595" s="109" t="s">
        <v>1294</v>
      </c>
      <c r="K595" s="109" t="s">
        <v>620</v>
      </c>
      <c r="L595" s="109" t="s">
        <v>1295</v>
      </c>
      <c r="M595" s="109" t="s">
        <v>1296</v>
      </c>
      <c r="N595" s="109" t="s">
        <v>1297</v>
      </c>
    </row>
    <row r="596" customFormat="false" ht="14.25" hidden="false" customHeight="false" outlineLevel="0" collapsed="false">
      <c r="A596" s="108" t="n">
        <v>622</v>
      </c>
      <c r="B596" s="109" t="s">
        <v>1298</v>
      </c>
      <c r="D596" s="109" t="s">
        <v>702</v>
      </c>
      <c r="H596" s="109" t="s">
        <v>1299</v>
      </c>
      <c r="K596" s="109" t="s">
        <v>1300</v>
      </c>
      <c r="L596" s="109" t="s">
        <v>1301</v>
      </c>
      <c r="N596" s="109" t="s">
        <v>1302</v>
      </c>
    </row>
    <row r="597" customFormat="false" ht="14.25" hidden="false" customHeight="false" outlineLevel="0" collapsed="false">
      <c r="A597" s="108" t="n">
        <v>623</v>
      </c>
      <c r="B597" s="109" t="s">
        <v>1303</v>
      </c>
      <c r="D597" s="109" t="s">
        <v>1304</v>
      </c>
      <c r="H597" s="109" t="s">
        <v>1305</v>
      </c>
      <c r="I597" s="109" t="s">
        <v>1306</v>
      </c>
      <c r="K597" s="109" t="s">
        <v>35</v>
      </c>
      <c r="N597" s="109" t="s">
        <v>1289</v>
      </c>
    </row>
    <row r="598" customFormat="false" ht="14.25" hidden="false" customHeight="false" outlineLevel="0" collapsed="false">
      <c r="A598" s="108" t="n">
        <v>624</v>
      </c>
      <c r="B598" s="109" t="s">
        <v>1307</v>
      </c>
      <c r="D598" s="109" t="s">
        <v>1304</v>
      </c>
      <c r="H598" s="109" t="n">
        <v>905434969154</v>
      </c>
      <c r="I598" s="109" t="s">
        <v>1308</v>
      </c>
      <c r="K598" s="109" t="s">
        <v>1309</v>
      </c>
      <c r="N598" s="109" t="s">
        <v>1289</v>
      </c>
    </row>
    <row r="599" customFormat="false" ht="14.25" hidden="false" customHeight="false" outlineLevel="0" collapsed="false">
      <c r="A599" s="108" t="n">
        <v>625</v>
      </c>
      <c r="B599" s="109" t="s">
        <v>1310</v>
      </c>
      <c r="D599" s="109" t="s">
        <v>657</v>
      </c>
      <c r="H599" s="109" t="s">
        <v>1311</v>
      </c>
      <c r="I599" s="109" t="s">
        <v>1312</v>
      </c>
      <c r="K599" s="109" t="s">
        <v>1313</v>
      </c>
      <c r="N599" s="109" t="s">
        <v>1314</v>
      </c>
    </row>
    <row r="600" customFormat="false" ht="14.25" hidden="false" customHeight="false" outlineLevel="0" collapsed="false">
      <c r="A600" s="108" t="n">
        <v>626</v>
      </c>
      <c r="B600" s="109" t="s">
        <v>1315</v>
      </c>
      <c r="D600" s="109" t="s">
        <v>657</v>
      </c>
      <c r="H600" s="109" t="s">
        <v>1316</v>
      </c>
      <c r="I600" s="109" t="s">
        <v>1317</v>
      </c>
      <c r="K600" s="109" t="s">
        <v>1318</v>
      </c>
      <c r="L600" s="109" t="s">
        <v>1319</v>
      </c>
      <c r="N600" s="109" t="s">
        <v>1247</v>
      </c>
    </row>
    <row r="601" customFormat="false" ht="14.25" hidden="false" customHeight="false" outlineLevel="0" collapsed="false">
      <c r="A601" s="108" t="n">
        <v>627</v>
      </c>
      <c r="B601" s="109" t="s">
        <v>1320</v>
      </c>
      <c r="D601" s="109" t="s">
        <v>547</v>
      </c>
      <c r="H601" s="109" t="n">
        <v>8615948105860</v>
      </c>
      <c r="I601" s="109" t="s">
        <v>1321</v>
      </c>
      <c r="K601" s="109" t="s">
        <v>1322</v>
      </c>
      <c r="L601" s="109" t="s">
        <v>1246</v>
      </c>
      <c r="M601" s="109" t="s">
        <v>1323</v>
      </c>
      <c r="N601" s="109" t="s">
        <v>1247</v>
      </c>
    </row>
    <row r="602" customFormat="false" ht="14.25" hidden="false" customHeight="false" outlineLevel="0" collapsed="false">
      <c r="A602" s="108" t="n">
        <v>628</v>
      </c>
      <c r="B602" s="109" t="s">
        <v>1324</v>
      </c>
      <c r="D602" s="109" t="s">
        <v>547</v>
      </c>
      <c r="I602" s="109" t="s">
        <v>1325</v>
      </c>
      <c r="K602" s="109" t="s">
        <v>1322</v>
      </c>
      <c r="L602" s="109" t="s">
        <v>1246</v>
      </c>
      <c r="M602" s="109" t="s">
        <v>1323</v>
      </c>
      <c r="N602" s="109" t="s">
        <v>1247</v>
      </c>
    </row>
    <row r="603" customFormat="false" ht="14.25" hidden="false" customHeight="false" outlineLevel="0" collapsed="false">
      <c r="A603" s="108" t="n">
        <v>629</v>
      </c>
      <c r="B603" s="109" t="s">
        <v>103</v>
      </c>
      <c r="D603" s="109" t="s">
        <v>604</v>
      </c>
      <c r="E603" s="109" t="s">
        <v>558</v>
      </c>
      <c r="F603" s="109" t="s">
        <v>1326</v>
      </c>
      <c r="G603" s="109" t="n">
        <v>676323157</v>
      </c>
      <c r="H603" s="109" t="n">
        <v>694738257</v>
      </c>
      <c r="I603" s="121" t="s">
        <v>1327</v>
      </c>
      <c r="K603" s="109" t="s">
        <v>1328</v>
      </c>
      <c r="L603" s="109" t="s">
        <v>1329</v>
      </c>
      <c r="M603" s="109" t="s">
        <v>1330</v>
      </c>
    </row>
  </sheetData>
  <mergeCells count="5">
    <mergeCell ref="I1:O1"/>
    <mergeCell ref="K578:L578"/>
    <mergeCell ref="K579:L579"/>
    <mergeCell ref="K580:L580"/>
    <mergeCell ref="K581:L581"/>
  </mergeCells>
  <dataValidations count="3">
    <dataValidation allowBlank="true" errorStyle="stop" operator="between" prompt="Rentrez une catégorie correcte" promptTitle="Erreur catégorie" showDropDown="false" showErrorMessage="true" showInputMessage="true" sqref="N5:N581" type="list">
      <formula1>[4]data!#ref!</formula1>
      <formula2>0</formula2>
    </dataValidation>
    <dataValidation allowBlank="true" error="Rentrez une catégorie correcte" errorStyle="stop" errorTitle="Erreur categorie" operator="between" showDropDown="false" showErrorMessage="true" showInputMessage="true" sqref="N4" type="list">
      <formula1>[4]data!#ref!</formula1>
      <formula2>0</formula2>
    </dataValidation>
    <dataValidation allowBlank="true" errorStyle="stop" operator="between" showDropDown="false" showErrorMessage="true" showInputMessage="true" sqref="O4:O22" type="list">
      <formula1>[4]data!#ref!</formula1>
      <formula2>0</formula2>
    </dataValidation>
  </dataValidations>
  <hyperlinks>
    <hyperlink ref="I4" r:id="rId2" display="pendajoselyne@steice.com"/>
    <hyperlink ref="I5" r:id="rId3" display="n.kumar@deeliteglobal.com"/>
    <hyperlink ref="I6" r:id="rId4" display="ktkinternal@gmail.com"/>
    <hyperlink ref="I7" r:id="rId5" display="osman.bader@orca-cam.com"/>
    <hyperlink ref="I8" r:id="rId6" display="ets2kp@gmail.com"/>
    <hyperlink ref="I9" r:id="rId7" display="sodefisarl@yahoo.com"/>
    <hyperlink ref="I10" r:id="rId8" display="motoange@yahoo.fr"/>
    <hyperlink ref="I11" r:id="rId9" display="tyfanie.nlend@ciscameroun.com"/>
    <hyperlink ref="I13" r:id="rId10" display="dssarl93@gmail.com"/>
    <hyperlink ref="I14" r:id="rId11" display="mitelecets@gmail.com"/>
    <hyperlink ref="I16" r:id="rId12" display="tonyzhao@linkwayco.com"/>
    <hyperlink ref="I202" r:id="rId13" display="bat.eleq1@gmail.com"/>
    <hyperlink ref="J202" r:id="rId14" display="ctmacameroun@gmail.com"/>
    <hyperlink ref="I603" r:id="rId15" display="njuffoemilie@gmail.com"/>
  </hyperlinks>
  <printOptions headings="false" gridLines="false" gridLinesSet="true" horizontalCentered="false" verticalCentered="false"/>
  <pageMargins left="0.315277777777778" right="0.118055555555556" top="0.354166666666667" bottom="0.354166666666667"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legacyDrawing r:id="rId1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8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11.55859375" defaultRowHeight="14.25" zeroHeight="false" outlineLevelRow="0" outlineLevelCol="0"/>
  <cols>
    <col collapsed="false" customWidth="true" hidden="false" outlineLevel="0" max="1" min="1" style="111" width="4.56"/>
    <col collapsed="false" customWidth="true" hidden="false" outlineLevel="0" max="2" min="2" style="111" width="26.78"/>
    <col collapsed="false" customWidth="true" hidden="false" outlineLevel="0" max="3" min="3" style="111" width="32.22"/>
    <col collapsed="false" customWidth="true" hidden="false" outlineLevel="0" max="4" min="4" style="111" width="79.67"/>
    <col collapsed="false" customWidth="true" hidden="false" outlineLevel="0" max="5" min="5" style="111" width="24.88"/>
    <col collapsed="false" customWidth="false" hidden="false" outlineLevel="0" max="6" min="6" style="111" width="11.56"/>
    <col collapsed="false" customWidth="true" hidden="false" outlineLevel="0" max="7" min="7" style="111" width="28.11"/>
    <col collapsed="false" customWidth="false" hidden="false" outlineLevel="0" max="8" min="8" style="111" width="11.56"/>
    <col collapsed="false" customWidth="true" hidden="false" outlineLevel="0" max="9" min="9" style="111" width="13.22"/>
    <col collapsed="false" customWidth="false" hidden="false" outlineLevel="0" max="16384" min="10" style="111" width="11.56"/>
  </cols>
  <sheetData>
    <row r="2" customFormat="false" ht="14.25" hidden="false" customHeight="false" outlineLevel="0" collapsed="false">
      <c r="A2" s="111" t="s">
        <v>1331</v>
      </c>
      <c r="B2" s="111" t="s">
        <v>1332</v>
      </c>
      <c r="C2" s="111" t="s">
        <v>1333</v>
      </c>
      <c r="D2" s="111" t="s">
        <v>1334</v>
      </c>
    </row>
    <row r="3" customFormat="false" ht="28.35" hidden="false" customHeight="false" outlineLevel="0" collapsed="false">
      <c r="A3" s="111" t="n">
        <v>1</v>
      </c>
      <c r="B3" s="111" t="s">
        <v>1335</v>
      </c>
      <c r="C3" s="124" t="s">
        <v>1336</v>
      </c>
      <c r="D3" s="125" t="s">
        <v>1337</v>
      </c>
      <c r="E3" s="124"/>
      <c r="F3" s="124"/>
      <c r="G3" s="124"/>
      <c r="H3" s="124"/>
      <c r="I3" s="124"/>
      <c r="J3" s="124"/>
      <c r="K3" s="124"/>
      <c r="L3" s="124"/>
      <c r="M3" s="124"/>
    </row>
    <row r="4" customFormat="false" ht="14.25" hidden="false" customHeight="false" outlineLevel="0" collapsed="false">
      <c r="C4" s="111" t="s">
        <v>1338</v>
      </c>
      <c r="D4" s="111" t="s">
        <v>1339</v>
      </c>
      <c r="I4" s="126"/>
    </row>
    <row r="5" customFormat="false" ht="14.25" hidden="false" customHeight="false" outlineLevel="0" collapsed="false">
      <c r="C5" s="111" t="s">
        <v>1340</v>
      </c>
      <c r="D5" s="111" t="s">
        <v>1341</v>
      </c>
      <c r="I5" s="126"/>
    </row>
    <row r="6" customFormat="false" ht="14.25" hidden="false" customHeight="false" outlineLevel="0" collapsed="false">
      <c r="C6" s="111" t="s">
        <v>1342</v>
      </c>
      <c r="D6" s="111" t="s">
        <v>1343</v>
      </c>
      <c r="I6" s="124"/>
    </row>
    <row r="7" customFormat="false" ht="14.25" hidden="false" customHeight="false" outlineLevel="0" collapsed="false">
      <c r="C7" s="111" t="s">
        <v>1344</v>
      </c>
      <c r="D7" s="111" t="s">
        <v>1345</v>
      </c>
    </row>
    <row r="8" customFormat="false" ht="14.25" hidden="false" customHeight="false" outlineLevel="0" collapsed="false">
      <c r="C8" s="111" t="s">
        <v>1346</v>
      </c>
      <c r="D8" s="111" t="s">
        <v>1347</v>
      </c>
    </row>
    <row r="9" customFormat="false" ht="14.25" hidden="false" customHeight="false" outlineLevel="0" collapsed="false">
      <c r="C9" s="111" t="s">
        <v>1348</v>
      </c>
      <c r="D9" s="111" t="s">
        <v>1349</v>
      </c>
    </row>
    <row r="10" customFormat="false" ht="14.25" hidden="false" customHeight="false" outlineLevel="0" collapsed="false">
      <c r="C10" s="111" t="s">
        <v>1350</v>
      </c>
      <c r="D10" s="111" t="s">
        <v>1351</v>
      </c>
    </row>
    <row r="11" customFormat="false" ht="14.25" hidden="false" customHeight="false" outlineLevel="0" collapsed="false">
      <c r="C11" s="124" t="s">
        <v>1336</v>
      </c>
    </row>
    <row r="12" customFormat="false" ht="14.25" hidden="false" customHeight="false" outlineLevel="0" collapsed="false">
      <c r="C12" s="111" t="s">
        <v>1338</v>
      </c>
    </row>
    <row r="13" customFormat="false" ht="14.25" hidden="false" customHeight="false" outlineLevel="0" collapsed="false">
      <c r="A13" s="111" t="n">
        <v>2</v>
      </c>
      <c r="B13" s="111" t="s">
        <v>1352</v>
      </c>
      <c r="C13" s="111" t="s">
        <v>1353</v>
      </c>
      <c r="D13" s="111" t="s">
        <v>1354</v>
      </c>
    </row>
    <row r="14" customFormat="false" ht="14.25" hidden="false" customHeight="false" outlineLevel="0" collapsed="false">
      <c r="C14" s="111" t="s">
        <v>1355</v>
      </c>
      <c r="D14" s="111" t="s">
        <v>1356</v>
      </c>
    </row>
    <row r="15" customFormat="false" ht="14.25" hidden="false" customHeight="false" outlineLevel="0" collapsed="false">
      <c r="C15" s="111" t="s">
        <v>1357</v>
      </c>
      <c r="D15" s="111" t="s">
        <v>1358</v>
      </c>
    </row>
    <row r="16" customFormat="false" ht="14.25" hidden="false" customHeight="false" outlineLevel="0" collapsed="false">
      <c r="C16" s="111" t="s">
        <v>1359</v>
      </c>
      <c r="D16" s="111" t="s">
        <v>1360</v>
      </c>
    </row>
    <row r="17" customFormat="false" ht="14.25" hidden="false" customHeight="false" outlineLevel="0" collapsed="false">
      <c r="C17" s="111" t="s">
        <v>1361</v>
      </c>
      <c r="D17" s="111" t="s">
        <v>1362</v>
      </c>
    </row>
    <row r="18" customFormat="false" ht="14.25" hidden="false" customHeight="false" outlineLevel="0" collapsed="false">
      <c r="C18" s="111" t="s">
        <v>1363</v>
      </c>
      <c r="D18" s="111" t="s">
        <v>1364</v>
      </c>
    </row>
    <row r="20" customFormat="false" ht="14.25" hidden="false" customHeight="false" outlineLevel="0" collapsed="false">
      <c r="A20" s="111" t="n">
        <v>3</v>
      </c>
      <c r="B20" s="111" t="s">
        <v>1365</v>
      </c>
      <c r="C20" s="111" t="s">
        <v>1366</v>
      </c>
      <c r="D20" s="111" t="s">
        <v>1367</v>
      </c>
    </row>
    <row r="21" customFormat="false" ht="14.25" hidden="false" customHeight="false" outlineLevel="0" collapsed="false">
      <c r="C21" s="111" t="s">
        <v>1368</v>
      </c>
      <c r="D21" s="111" t="s">
        <v>1369</v>
      </c>
    </row>
    <row r="22" customFormat="false" ht="14.25" hidden="false" customHeight="false" outlineLevel="0" collapsed="false">
      <c r="C22" s="111" t="s">
        <v>1370</v>
      </c>
      <c r="D22" s="111" t="s">
        <v>1371</v>
      </c>
    </row>
    <row r="23" customFormat="false" ht="14.25" hidden="false" customHeight="false" outlineLevel="0" collapsed="false">
      <c r="C23" s="111" t="s">
        <v>1372</v>
      </c>
      <c r="D23" s="111" t="s">
        <v>1373</v>
      </c>
    </row>
    <row r="24" customFormat="false" ht="14.25" hidden="false" customHeight="false" outlineLevel="0" collapsed="false">
      <c r="C24" s="111" t="s">
        <v>1374</v>
      </c>
      <c r="D24" s="111" t="s">
        <v>1375</v>
      </c>
    </row>
    <row r="25" customFormat="false" ht="14.25" hidden="false" customHeight="false" outlineLevel="0" collapsed="false">
      <c r="C25" s="111" t="s">
        <v>1376</v>
      </c>
      <c r="D25" s="111" t="s">
        <v>1377</v>
      </c>
    </row>
    <row r="26" customFormat="false" ht="14.25" hidden="false" customHeight="false" outlineLevel="0" collapsed="false">
      <c r="C26" s="111" t="s">
        <v>1378</v>
      </c>
    </row>
    <row r="28" customFormat="false" ht="14.25" hidden="false" customHeight="false" outlineLevel="0" collapsed="false">
      <c r="A28" s="111" t="n">
        <v>4</v>
      </c>
      <c r="B28" s="111" t="s">
        <v>1379</v>
      </c>
      <c r="C28" s="111" t="s">
        <v>1380</v>
      </c>
      <c r="D28" s="111" t="s">
        <v>1381</v>
      </c>
    </row>
    <row r="29" customFormat="false" ht="14.25" hidden="false" customHeight="false" outlineLevel="0" collapsed="false">
      <c r="C29" s="111" t="s">
        <v>1382</v>
      </c>
      <c r="D29" s="111" t="s">
        <v>1383</v>
      </c>
    </row>
    <row r="30" customFormat="false" ht="14.25" hidden="false" customHeight="false" outlineLevel="0" collapsed="false">
      <c r="C30" s="111" t="s">
        <v>1384</v>
      </c>
      <c r="D30" s="111" t="s">
        <v>1385</v>
      </c>
    </row>
    <row r="31" customFormat="false" ht="14.25" hidden="false" customHeight="false" outlineLevel="0" collapsed="false">
      <c r="C31" s="111" t="s">
        <v>1386</v>
      </c>
      <c r="D31" s="111" t="s">
        <v>1387</v>
      </c>
    </row>
    <row r="32" customFormat="false" ht="14.25" hidden="false" customHeight="false" outlineLevel="0" collapsed="false">
      <c r="C32" s="111" t="s">
        <v>1388</v>
      </c>
      <c r="D32" s="111" t="s">
        <v>1389</v>
      </c>
    </row>
    <row r="33" customFormat="false" ht="14.25" hidden="false" customHeight="false" outlineLevel="0" collapsed="false">
      <c r="C33" s="111" t="s">
        <v>1390</v>
      </c>
      <c r="D33" s="111" t="s">
        <v>1391</v>
      </c>
    </row>
    <row r="35" customFormat="false" ht="14.25" hidden="false" customHeight="false" outlineLevel="0" collapsed="false">
      <c r="A35" s="111" t="n">
        <v>5</v>
      </c>
      <c r="B35" s="111" t="s">
        <v>1392</v>
      </c>
      <c r="C35" s="111" t="s">
        <v>1393</v>
      </c>
      <c r="D35" s="111" t="s">
        <v>1394</v>
      </c>
    </row>
    <row r="36" customFormat="false" ht="14.25" hidden="false" customHeight="false" outlineLevel="0" collapsed="false">
      <c r="C36" s="111" t="s">
        <v>1395</v>
      </c>
      <c r="D36" s="111" t="s">
        <v>1396</v>
      </c>
    </row>
    <row r="37" customFormat="false" ht="14.25" hidden="false" customHeight="false" outlineLevel="0" collapsed="false">
      <c r="C37" s="111" t="s">
        <v>1397</v>
      </c>
      <c r="D37" s="111" t="s">
        <v>1398</v>
      </c>
    </row>
    <row r="38" customFormat="false" ht="14.25" hidden="false" customHeight="false" outlineLevel="0" collapsed="false">
      <c r="C38" s="111" t="s">
        <v>1399</v>
      </c>
      <c r="D38" s="111" t="s">
        <v>1400</v>
      </c>
    </row>
    <row r="39" customFormat="false" ht="14.25" hidden="false" customHeight="false" outlineLevel="0" collapsed="false">
      <c r="C39" s="111" t="s">
        <v>1401</v>
      </c>
      <c r="D39" s="111" t="s">
        <v>1402</v>
      </c>
    </row>
    <row r="40" customFormat="false" ht="14.25" hidden="false" customHeight="false" outlineLevel="0" collapsed="false">
      <c r="C40" s="111" t="s">
        <v>1403</v>
      </c>
    </row>
    <row r="41" customFormat="false" ht="14.25" hidden="false" customHeight="false" outlineLevel="0" collapsed="false">
      <c r="C41" s="111" t="s">
        <v>1404</v>
      </c>
    </row>
    <row r="42" customFormat="false" ht="14.25" hidden="false" customHeight="false" outlineLevel="0" collapsed="false">
      <c r="C42" s="111" t="s">
        <v>1405</v>
      </c>
    </row>
    <row r="43" customFormat="false" ht="14.25" hidden="false" customHeight="false" outlineLevel="0" collapsed="false">
      <c r="C43" s="111" t="s">
        <v>1406</v>
      </c>
    </row>
    <row r="45" customFormat="false" ht="14.25" hidden="false" customHeight="false" outlineLevel="0" collapsed="false">
      <c r="A45" s="111" t="n">
        <v>6</v>
      </c>
      <c r="B45" s="111" t="s">
        <v>1407</v>
      </c>
      <c r="C45" s="111" t="s">
        <v>1408</v>
      </c>
      <c r="D45" s="111" t="s">
        <v>1409</v>
      </c>
    </row>
    <row r="46" customFormat="false" ht="14.25" hidden="false" customHeight="false" outlineLevel="0" collapsed="false">
      <c r="B46" s="127"/>
      <c r="C46" s="111" t="s">
        <v>1410</v>
      </c>
      <c r="D46" s="111" t="s">
        <v>1411</v>
      </c>
    </row>
    <row r="47" customFormat="false" ht="14.25" hidden="false" customHeight="false" outlineLevel="0" collapsed="false">
      <c r="B47" s="127"/>
      <c r="C47" s="111" t="s">
        <v>1412</v>
      </c>
      <c r="D47" s="111" t="s">
        <v>1413</v>
      </c>
    </row>
    <row r="48" customFormat="false" ht="14.25" hidden="false" customHeight="false" outlineLevel="0" collapsed="false">
      <c r="C48" s="111" t="s">
        <v>1414</v>
      </c>
      <c r="D48" s="111" t="s">
        <v>1415</v>
      </c>
    </row>
    <row r="49" customFormat="false" ht="14.25" hidden="false" customHeight="false" outlineLevel="0" collapsed="false">
      <c r="C49" s="111" t="s">
        <v>1416</v>
      </c>
      <c r="D49" s="111" t="s">
        <v>1417</v>
      </c>
    </row>
    <row r="50" customFormat="false" ht="14.25" hidden="false" customHeight="false" outlineLevel="0" collapsed="false">
      <c r="C50" s="111" t="s">
        <v>1418</v>
      </c>
      <c r="D50" s="111" t="s">
        <v>1419</v>
      </c>
    </row>
    <row r="51" customFormat="false" ht="14.25" hidden="false" customHeight="false" outlineLevel="0" collapsed="false">
      <c r="C51" s="111" t="s">
        <v>1420</v>
      </c>
      <c r="D51" s="111" t="s">
        <v>1421</v>
      </c>
    </row>
    <row r="53" customFormat="false" ht="14.25" hidden="false" customHeight="false" outlineLevel="0" collapsed="false">
      <c r="A53" s="111" t="n">
        <v>7</v>
      </c>
      <c r="B53" s="111" t="s">
        <v>1422</v>
      </c>
      <c r="C53" s="111" t="s">
        <v>1423</v>
      </c>
      <c r="D53" s="111" t="s">
        <v>1424</v>
      </c>
    </row>
    <row r="54" customFormat="false" ht="14.25" hidden="false" customHeight="false" outlineLevel="0" collapsed="false">
      <c r="D54" s="111" t="s">
        <v>1425</v>
      </c>
    </row>
    <row r="55" customFormat="false" ht="14.25" hidden="false" customHeight="false" outlineLevel="0" collapsed="false">
      <c r="D55" s="111" t="s">
        <v>1426</v>
      </c>
    </row>
    <row r="56" customFormat="false" ht="14.25" hidden="false" customHeight="false" outlineLevel="0" collapsed="false">
      <c r="D56" s="111" t="s">
        <v>1427</v>
      </c>
    </row>
    <row r="57" customFormat="false" ht="14.25" hidden="false" customHeight="false" outlineLevel="0" collapsed="false">
      <c r="D57" s="111" t="s">
        <v>1428</v>
      </c>
    </row>
    <row r="58" customFormat="false" ht="14.25" hidden="false" customHeight="false" outlineLevel="0" collapsed="false">
      <c r="D58" s="111" t="s">
        <v>1429</v>
      </c>
    </row>
    <row r="59" customFormat="false" ht="14.25" hidden="false" customHeight="false" outlineLevel="0" collapsed="false">
      <c r="D59" s="111" t="s">
        <v>1430</v>
      </c>
    </row>
    <row r="60" customFormat="false" ht="14.25" hidden="false" customHeight="false" outlineLevel="0" collapsed="false">
      <c r="D60" s="111" t="s">
        <v>1431</v>
      </c>
    </row>
    <row r="61" customFormat="false" ht="14.25" hidden="false" customHeight="false" outlineLevel="0" collapsed="false">
      <c r="D61" s="111" t="s">
        <v>1432</v>
      </c>
    </row>
    <row r="62" customFormat="false" ht="14.25" hidden="false" customHeight="false" outlineLevel="0" collapsed="false">
      <c r="D62" s="111" t="s">
        <v>1433</v>
      </c>
    </row>
    <row r="63" customFormat="false" ht="14.25" hidden="false" customHeight="false" outlineLevel="0" collapsed="false">
      <c r="C63" s="111" t="s">
        <v>1434</v>
      </c>
      <c r="D63" s="111" t="s">
        <v>1435</v>
      </c>
    </row>
    <row r="64" customFormat="false" ht="14.25" hidden="false" customHeight="false" outlineLevel="0" collapsed="false">
      <c r="D64" s="111" t="s">
        <v>1436</v>
      </c>
    </row>
    <row r="65" customFormat="false" ht="14.25" hidden="false" customHeight="false" outlineLevel="0" collapsed="false">
      <c r="D65" s="111" t="s">
        <v>1437</v>
      </c>
    </row>
    <row r="66" customFormat="false" ht="14.25" hidden="false" customHeight="false" outlineLevel="0" collapsed="false">
      <c r="D66" s="111" t="s">
        <v>1438</v>
      </c>
    </row>
    <row r="67" customFormat="false" ht="14.25" hidden="false" customHeight="false" outlineLevel="0" collapsed="false">
      <c r="D67" s="111" t="s">
        <v>1439</v>
      </c>
    </row>
    <row r="68" customFormat="false" ht="14.25" hidden="false" customHeight="false" outlineLevel="0" collapsed="false">
      <c r="D68" s="111" t="s">
        <v>1440</v>
      </c>
    </row>
    <row r="69" customFormat="false" ht="14.25" hidden="false" customHeight="false" outlineLevel="0" collapsed="false">
      <c r="C69" s="111" t="s">
        <v>1441</v>
      </c>
    </row>
    <row r="71" customFormat="false" ht="14.25" hidden="false" customHeight="false" outlineLevel="0" collapsed="false">
      <c r="A71" s="111" t="n">
        <v>8</v>
      </c>
      <c r="B71" s="111" t="s">
        <v>1442</v>
      </c>
      <c r="C71" s="111" t="s">
        <v>1443</v>
      </c>
      <c r="D71" s="111" t="s">
        <v>1444</v>
      </c>
    </row>
    <row r="72" customFormat="false" ht="14.25" hidden="false" customHeight="false" outlineLevel="0" collapsed="false">
      <c r="D72" s="111" t="s">
        <v>1445</v>
      </c>
    </row>
    <row r="73" customFormat="false" ht="14.25" hidden="false" customHeight="false" outlineLevel="0" collapsed="false">
      <c r="D73" s="111" t="s">
        <v>1446</v>
      </c>
    </row>
    <row r="74" customFormat="false" ht="14.25" hidden="false" customHeight="false" outlineLevel="0" collapsed="false">
      <c r="D74" s="111" t="s">
        <v>1447</v>
      </c>
    </row>
    <row r="75" customFormat="false" ht="14.25" hidden="false" customHeight="false" outlineLevel="0" collapsed="false">
      <c r="D75" s="111" t="s">
        <v>1448</v>
      </c>
    </row>
    <row r="76" customFormat="false" ht="14.25" hidden="false" customHeight="false" outlineLevel="0" collapsed="false">
      <c r="D76" s="111" t="s">
        <v>1449</v>
      </c>
    </row>
    <row r="77" customFormat="false" ht="14.25" hidden="false" customHeight="false" outlineLevel="0" collapsed="false">
      <c r="D77" s="111" t="s">
        <v>1450</v>
      </c>
    </row>
    <row r="78" customFormat="false" ht="14.25" hidden="false" customHeight="false" outlineLevel="0" collapsed="false">
      <c r="D78" s="111" t="s">
        <v>1451</v>
      </c>
    </row>
    <row r="79" customFormat="false" ht="14.25" hidden="false" customHeight="false" outlineLevel="0" collapsed="false">
      <c r="D79" s="111" t="s">
        <v>1452</v>
      </c>
    </row>
    <row r="80" customFormat="false" ht="28.35" hidden="false" customHeight="false" outlineLevel="0" collapsed="false">
      <c r="C80" s="111" t="s">
        <v>1453</v>
      </c>
      <c r="D80" s="125" t="s">
        <v>1454</v>
      </c>
    </row>
    <row r="82" customFormat="false" ht="14.25" hidden="false" customHeight="false" outlineLevel="0" collapsed="false">
      <c r="C82" s="111" t="s">
        <v>1455</v>
      </c>
      <c r="D82" s="111" t="s">
        <v>1456</v>
      </c>
    </row>
    <row r="83" customFormat="false" ht="14.25" hidden="false" customHeight="false" outlineLevel="0" collapsed="false">
      <c r="D83" s="111" t="s">
        <v>1457</v>
      </c>
    </row>
    <row r="84" customFormat="false" ht="14.25" hidden="false" customHeight="false" outlineLevel="0" collapsed="false">
      <c r="D84" s="111" t="s">
        <v>1458</v>
      </c>
    </row>
  </sheetData>
  <printOptions headings="false" gridLines="false" gridLinesSet="true" horizontalCentered="false" verticalCentered="false"/>
  <pageMargins left="0.315277777777778" right="0.315277777777778" top="0.354166666666667" bottom="0.354166666666667"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5" activeCellId="0" sqref="D15"/>
    </sheetView>
  </sheetViews>
  <sheetFormatPr defaultColWidth="11.55859375" defaultRowHeight="14.25" zeroHeight="false" outlineLevelRow="0" outlineLevelCol="0"/>
  <cols>
    <col collapsed="false" customWidth="false" hidden="false" outlineLevel="0" max="3" min="1" style="111" width="11.56"/>
    <col collapsed="false" customWidth="true" hidden="false" outlineLevel="0" max="4" min="4" style="111" width="24.88"/>
    <col collapsed="false" customWidth="false" hidden="false" outlineLevel="0" max="16384" min="5" style="111" width="11.56"/>
  </cols>
  <sheetData>
    <row r="2" customFormat="false" ht="14.25" hidden="false" customHeight="false" outlineLevel="0" collapsed="false">
      <c r="A2" s="111" t="s">
        <v>1459</v>
      </c>
      <c r="B2" s="111" t="s">
        <v>20</v>
      </c>
      <c r="C2" s="111" t="s">
        <v>1460</v>
      </c>
      <c r="D2" s="111" t="s">
        <v>1332</v>
      </c>
    </row>
    <row r="3" customFormat="false" ht="14.25" hidden="false" customHeight="false" outlineLevel="0" collapsed="false">
      <c r="A3" s="111" t="s">
        <v>604</v>
      </c>
      <c r="B3" s="111" t="s">
        <v>1461</v>
      </c>
      <c r="C3" s="111" t="s">
        <v>510</v>
      </c>
      <c r="D3" s="111" t="s">
        <v>1462</v>
      </c>
      <c r="E3" s="124" t="s">
        <v>1463</v>
      </c>
    </row>
    <row r="4" customFormat="false" ht="14.25" hidden="false" customHeight="false" outlineLevel="0" collapsed="false">
      <c r="A4" s="111" t="s">
        <v>547</v>
      </c>
      <c r="B4" s="111" t="s">
        <v>1464</v>
      </c>
      <c r="C4" s="111" t="s">
        <v>37</v>
      </c>
      <c r="D4" s="111" t="s">
        <v>1352</v>
      </c>
      <c r="E4" s="111" t="s">
        <v>1465</v>
      </c>
    </row>
    <row r="5" customFormat="false" ht="14.25" hidden="false" customHeight="false" outlineLevel="0" collapsed="false">
      <c r="A5" s="111" t="s">
        <v>657</v>
      </c>
      <c r="B5" s="111" t="s">
        <v>1466</v>
      </c>
      <c r="C5" s="111" t="s">
        <v>24</v>
      </c>
      <c r="D5" s="111" t="s">
        <v>1467</v>
      </c>
      <c r="E5" s="111" t="s">
        <v>1468</v>
      </c>
    </row>
    <row r="6" customFormat="false" ht="14.25" hidden="false" customHeight="false" outlineLevel="0" collapsed="false">
      <c r="A6" s="111" t="s">
        <v>666</v>
      </c>
      <c r="B6" s="111" t="s">
        <v>1469</v>
      </c>
      <c r="C6" s="111" t="s">
        <v>30</v>
      </c>
      <c r="D6" s="111" t="s">
        <v>1422</v>
      </c>
      <c r="E6" s="111" t="s">
        <v>1423</v>
      </c>
    </row>
    <row r="7" customFormat="false" ht="14.25" hidden="false" customHeight="false" outlineLevel="0" collapsed="false">
      <c r="A7" s="111" t="s">
        <v>1470</v>
      </c>
      <c r="C7" s="111" t="s">
        <v>44</v>
      </c>
      <c r="D7" s="111" t="s">
        <v>1471</v>
      </c>
      <c r="E7" s="111" t="s">
        <v>1472</v>
      </c>
    </row>
    <row r="8" customFormat="false" ht="14.25" hidden="false" customHeight="false" outlineLevel="0" collapsed="false">
      <c r="A8" s="109" t="s">
        <v>701</v>
      </c>
      <c r="C8" s="111" t="s">
        <v>60</v>
      </c>
      <c r="D8" s="111" t="s">
        <v>1365</v>
      </c>
      <c r="E8" s="111" t="s">
        <v>1473</v>
      </c>
    </row>
    <row r="9" customFormat="false" ht="14.25" hidden="false" customHeight="false" outlineLevel="0" collapsed="false">
      <c r="A9" s="111" t="s">
        <v>658</v>
      </c>
      <c r="C9" s="111" t="s">
        <v>68</v>
      </c>
      <c r="D9" s="111" t="s">
        <v>1392</v>
      </c>
      <c r="E9" s="111" t="s">
        <v>1474</v>
      </c>
    </row>
    <row r="10" customFormat="false" ht="14.25" hidden="false" customHeight="false" outlineLevel="0" collapsed="false">
      <c r="A10" s="111" t="s">
        <v>1009</v>
      </c>
      <c r="C10" s="111" t="s">
        <v>225</v>
      </c>
      <c r="D10" s="111" t="s">
        <v>1475</v>
      </c>
      <c r="E10" s="128" t="s">
        <v>1476</v>
      </c>
    </row>
    <row r="11" customFormat="false" ht="14.25" hidden="false" customHeight="false" outlineLevel="0" collapsed="false">
      <c r="C11" s="111" t="s">
        <v>342</v>
      </c>
    </row>
    <row r="12" customFormat="false" ht="14.25" hidden="false" customHeight="false" outlineLevel="0" collapsed="false">
      <c r="C12" s="111" t="s">
        <v>1477</v>
      </c>
    </row>
    <row r="13" customFormat="false" ht="14.25" hidden="false" customHeight="false" outlineLevel="0" collapsed="false">
      <c r="C13" s="111" t="s">
        <v>484</v>
      </c>
    </row>
    <row r="14" customFormat="false" ht="14.25" hidden="false" customHeight="false" outlineLevel="0" collapsed="false">
      <c r="C14" s="111" t="s">
        <v>79</v>
      </c>
    </row>
    <row r="49" customFormat="false" ht="14.25" hidden="false" customHeight="false" outlineLevel="0" collapsed="false">
      <c r="D49" s="127"/>
    </row>
    <row r="50" customFormat="false" ht="14.25" hidden="false" customHeight="false" outlineLevel="0" collapsed="false">
      <c r="D50" s="12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2025-12-20T10:43:10Z</dcterms:created>
  <dc:creator>gilles vivien lankeu younga</dc:creator>
  <dc:description/>
  <dc:language>fr-FR</dc:language>
  <cp:lastModifiedBy/>
  <dcterms:modified xsi:type="dcterms:W3CDTF">2026-04-04T07:32:45Z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